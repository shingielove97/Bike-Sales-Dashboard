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esearch\Desktop\Board Meetings\Full Board\December Meetings Minutes\Full Board Board Pack\"/>
    </mc:Choice>
  </mc:AlternateContent>
  <xr:revisionPtr revIDLastSave="0" documentId="13_ncr:1_{E119F482-193D-40E9-9855-78487AC4F8D8}" xr6:coauthVersionLast="47" xr6:coauthVersionMax="47" xr10:uidLastSave="{00000000-0000-0000-0000-000000000000}"/>
  <bookViews>
    <workbookView xWindow="-108" yWindow="-108" windowWidth="23256" windowHeight="12456" activeTab="2" xr2:uid="{012C2479-15D2-45EC-8392-DB62C756A21F}"/>
  </bookViews>
  <sheets>
    <sheet name="Working Sheet1" sheetId="1" r:id="rId1"/>
    <sheet name="Pivot Table" sheetId="3" r:id="rId2"/>
    <sheet name="Dashboard" sheetId="4" r:id="rId3"/>
  </sheets>
  <definedNames>
    <definedName name="Slicer_Education">#N/A</definedName>
    <definedName name="Slicer_Marital_Status">#N/A</definedName>
    <definedName name="Slicer_Region">#N/A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<sst xmlns="http://schemas.openxmlformats.org/spreadsheetml/2006/main" count="8263" uniqueCount="47">
  <si>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</si>
  <si>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</si>
  <si>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</si>
  <si>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</si>
  <si>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</si>
  <si>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</si>
  <si>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</si>
  <si>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</si>
  <si>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</si>
  <si>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</si>
  <si>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</si>
  <si>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</si>
  <si>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</si>
  <si>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</si>
  <si>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</si>
  <si>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</si>
  <si>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</si>
  <si>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</si>
  <si>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</si>
  <si>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</si>
  <si>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</si>
  <si>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</si>
  <si>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</si>
  <si>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</si>
  <si>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</si>
  <si>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</si>
  <si>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</si>
  <si>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</si>
  <si>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</si>
  <si>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</si>
  <si>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</si>
  <si>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</si>
  <si>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</si>
  <si>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</si>
  <si>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</si>
  <si>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</si>
  <si>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</si>
  <si>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Middle Age</t>
  </si>
  <si>
    <t>Row Labels</t>
  </si>
  <si>
    <t>Grand Total</t>
  </si>
  <si>
    <t>Average of Income</t>
  </si>
  <si>
    <t>Count of Purchased Bike</t>
  </si>
  <si>
    <t>Column Labels</t>
  </si>
  <si>
    <t>More than 10 miles</t>
  </si>
  <si>
    <t>Adolescent</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</si>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</sst>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quot;US$&quot;#,##0"/>
  </numFmts>
  <fonts count="3">
    <font>
      <sz val="11"/>
      <color theme="1"/>
      <name val="Calibri"/>
      <family val="2"/>
      <scheme val="minor"/>
    </font>
    <font>
      <u/>
      <sz val="11"/>
      <color theme="1"/>
      <name val="Calibri"/>
      <charset val="134"/>
      <scheme val="minor"/>
    </font>
    <font>
      <sz val="48"/>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7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Average</a:t>
            </a:r>
            <a:r>
              <a:rPr lang="en-ZW" baseline="0"/>
              <a:t> Income per purchase</a:t>
            </a:r>
          </a:p>
          <a:p>
            <a:pPr>
              <a:defRPr/>
            </a:pP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"US$"#,##0</c:formatCode>
                <c:ptCount val="2"/>
                <c:pt idx="0">
                  <c:v>55412.84403669725</c:v>
                </c:pt>
                <c:pt idx="1">
                  <c:v>61521.739130434784</c:v>
                </c:pt>
              </c:numCache>
            </c:numRef>
          </c:val>
          <c:extLst>
            <c:ext xmlns:c16="http://schemas.microsoft.com/office/drawing/2014/chart" uri="{C3380CC4-5D6E-409C-BE32-E72D297353CC}">
              <c16:uniqueId val="{00000000-04E6-42A5-8FF1-55C096CF1C5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"US$"#,##0</c:formatCode>
                <c:ptCount val="2"/>
                <c:pt idx="0">
                  <c:v>58888.888888888891</c:v>
                </c:pt>
                <c:pt idx="1">
                  <c:v>59777.777777777781</c:v>
                </c:pt>
              </c:numCache>
            </c:numRef>
          </c:val>
          <c:extLst>
            <c:ext xmlns:c16="http://schemas.microsoft.com/office/drawing/2014/chart" uri="{C3380CC4-5D6E-409C-BE32-E72D297353CC}">
              <c16:uniqueId val="{00000001-04E6-42A5-8FF1-55C096CF1C56}"/>
            </c:ext>
          </c:extLst>
        </c:ser>
        <c:dLbls>
          <c:showLegendKey val="0"/>
          <c:showVal val="0"/>
          <c:showCatName val="0"/>
          <c:showSerName val="0"/>
          <c:showPercent val="0"/>
          <c:showBubbleSize val="0"/>
        </c:dLbls>
        <c:gapWidth val="219"/>
        <c:overlap val="-27"/>
        <c:axId val="1028132175"/>
        <c:axId val="1028145615"/>
      </c:barChart>
      <c:catAx>
        <c:axId val="102813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45615"/>
        <c:crosses val="autoZero"/>
        <c:auto val="1"/>
        <c:lblAlgn val="ctr"/>
        <c:lblOffset val="100"/>
        <c:noMultiLvlLbl val="0"/>
      </c:catAx>
      <c:valAx>
        <c:axId val="1028145615"/>
        <c:scaling>
          <c:orientation val="minMax"/>
        </c:scaling>
        <c:delete val="0"/>
        <c:axPos val="l"/>
        <c:majorGridlines>
          <c:spPr>
            <a:ln w="9525" cap="flat" cmpd="sng" algn="ctr">
              <a:solidFill>
                <a:schemeClr val="tx1">
                  <a:lumMod val="15000"/>
                  <a:lumOff val="85000"/>
                </a:schemeClr>
              </a:solidFill>
              <a:round/>
            </a:ln>
            <a:effectLst/>
          </c:spPr>
        </c:majorGridlines>
        <c:numFmt formatCode="&quot;US$&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32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Commute</a:t>
            </a:r>
            <a:r>
              <a:rPr lang="en-ZW" baseline="0"/>
              <a:t> Distance</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89</c:v>
                </c:pt>
                <c:pt idx="1">
                  <c:v>43</c:v>
                </c:pt>
                <c:pt idx="2">
                  <c:v>31</c:v>
                </c:pt>
                <c:pt idx="3">
                  <c:v>43</c:v>
                </c:pt>
                <c:pt idx="4">
                  <c:v>41</c:v>
                </c:pt>
              </c:numCache>
            </c:numRef>
          </c:val>
          <c:smooth val="0"/>
          <c:extLst>
            <c:ext xmlns:c16="http://schemas.microsoft.com/office/drawing/2014/chart" uri="{C3380CC4-5D6E-409C-BE32-E72D297353CC}">
              <c16:uniqueId val="{00000000-10DC-4495-B5E3-9D0C767F57B0}"/>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84</c:v>
                </c:pt>
                <c:pt idx="1">
                  <c:v>30</c:v>
                </c:pt>
                <c:pt idx="2">
                  <c:v>37</c:v>
                </c:pt>
                <c:pt idx="3">
                  <c:v>24</c:v>
                </c:pt>
                <c:pt idx="4">
                  <c:v>5</c:v>
                </c:pt>
              </c:numCache>
            </c:numRef>
          </c:val>
          <c:smooth val="0"/>
          <c:extLst>
            <c:ext xmlns:c16="http://schemas.microsoft.com/office/drawing/2014/chart" uri="{C3380CC4-5D6E-409C-BE32-E72D297353CC}">
              <c16:uniqueId val="{00000001-10DC-4495-B5E3-9D0C767F57B0}"/>
            </c:ext>
          </c:extLst>
        </c:ser>
        <c:dLbls>
          <c:showLegendKey val="0"/>
          <c:showVal val="0"/>
          <c:showCatName val="0"/>
          <c:showSerName val="0"/>
          <c:showPercent val="0"/>
          <c:showBubbleSize val="0"/>
        </c:dLbls>
        <c:smooth val="0"/>
        <c:axId val="1058329567"/>
        <c:axId val="1058330047"/>
      </c:lineChart>
      <c:catAx>
        <c:axId val="105832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30047"/>
        <c:crosses val="autoZero"/>
        <c:auto val="1"/>
        <c:lblAlgn val="ctr"/>
        <c:lblOffset val="100"/>
        <c:noMultiLvlLbl val="0"/>
      </c:catAx>
      <c:valAx>
        <c:axId val="10583300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2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46782817840216018"/>
          <c:y val="0.150599306954762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Table'!$A$32:$A$35</c:f>
              <c:strCache>
                <c:ptCount val="3"/>
                <c:pt idx="0">
                  <c:v>Adolescent</c:v>
                </c:pt>
                <c:pt idx="1">
                  <c:v>Middle Age</c:v>
                </c:pt>
                <c:pt idx="2">
                  <c:v>Old</c:v>
                </c:pt>
              </c:strCache>
            </c:strRef>
          </c:cat>
          <c:val>
            <c:numRef>
              <c:f>'Pivot Table'!$B$32:$B$35</c:f>
              <c:numCache>
                <c:formatCode>General</c:formatCode>
                <c:ptCount val="3"/>
                <c:pt idx="0">
                  <c:v>17</c:v>
                </c:pt>
                <c:pt idx="1">
                  <c:v>148</c:v>
                </c:pt>
                <c:pt idx="2">
                  <c:v>82</c:v>
                </c:pt>
              </c:numCache>
            </c:numRef>
          </c:val>
          <c:smooth val="0"/>
          <c:extLst>
            <c:ext xmlns:c16="http://schemas.microsoft.com/office/drawing/2014/chart" uri="{C3380CC4-5D6E-409C-BE32-E72D297353CC}">
              <c16:uniqueId val="{00000000-BC53-481E-9D66-435F1A3961C8}"/>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Table'!$A$32:$A$35</c:f>
              <c:strCache>
                <c:ptCount val="3"/>
                <c:pt idx="0">
                  <c:v>Adolescent</c:v>
                </c:pt>
                <c:pt idx="1">
                  <c:v>Middle Age</c:v>
                </c:pt>
                <c:pt idx="2">
                  <c:v>Old</c:v>
                </c:pt>
              </c:strCache>
            </c:strRef>
          </c:cat>
          <c:val>
            <c:numRef>
              <c:f>'Pivot Table'!$C$32:$C$35</c:f>
              <c:numCache>
                <c:formatCode>General</c:formatCode>
                <c:ptCount val="3"/>
                <c:pt idx="0">
                  <c:v>6</c:v>
                </c:pt>
                <c:pt idx="1">
                  <c:v>152</c:v>
                </c:pt>
                <c:pt idx="2">
                  <c:v>22</c:v>
                </c:pt>
              </c:numCache>
            </c:numRef>
          </c:val>
          <c:smooth val="0"/>
          <c:extLst>
            <c:ext xmlns:c16="http://schemas.microsoft.com/office/drawing/2014/chart" uri="{C3380CC4-5D6E-409C-BE32-E72D297353CC}">
              <c16:uniqueId val="{00000001-BC53-481E-9D66-435F1A3961C8}"/>
            </c:ext>
          </c:extLst>
        </c:ser>
        <c:dLbls>
          <c:showLegendKey val="0"/>
          <c:showVal val="0"/>
          <c:showCatName val="0"/>
          <c:showSerName val="0"/>
          <c:showPercent val="0"/>
          <c:showBubbleSize val="0"/>
        </c:dLbls>
        <c:smooth val="0"/>
        <c:axId val="1153614047"/>
        <c:axId val="1143155535"/>
      </c:lineChart>
      <c:catAx>
        <c:axId val="11536140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155535"/>
        <c:crosses val="autoZero"/>
        <c:auto val="1"/>
        <c:lblAlgn val="ctr"/>
        <c:lblOffset val="100"/>
        <c:noMultiLvlLbl val="0"/>
      </c:catAx>
      <c:valAx>
        <c:axId val="114315553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Bike Sales</a:t>
            </a:r>
            <a:r>
              <a:rPr lang="en-ZW" baseline="0"/>
              <a:t> per region</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Table'!$B$45:$B$46</c:f>
              <c:strCache>
                <c:ptCount val="1"/>
                <c:pt idx="0">
                  <c:v>No</c:v>
                </c:pt>
              </c:strCache>
            </c:strRef>
          </c:tx>
          <c:spPr>
            <a:solidFill>
              <a:schemeClr val="accent1"/>
            </a:solidFill>
            <a:ln>
              <a:noFill/>
            </a:ln>
            <a:effectLst/>
          </c:spPr>
          <c:invertIfNegative val="0"/>
          <c:cat>
            <c:strRef>
              <c:f>'Pivot Table'!$A$47:$A$49</c:f>
              <c:strCache>
                <c:ptCount val="2"/>
                <c:pt idx="0">
                  <c:v>Europe</c:v>
                </c:pt>
                <c:pt idx="1">
                  <c:v>North America</c:v>
                </c:pt>
              </c:strCache>
            </c:strRef>
          </c:cat>
          <c:val>
            <c:numRef>
              <c:f>'Pivot Table'!$B$47:$B$49</c:f>
              <c:numCache>
                <c:formatCode>General</c:formatCode>
                <c:ptCount val="2"/>
                <c:pt idx="0">
                  <c:v>69</c:v>
                </c:pt>
                <c:pt idx="1">
                  <c:v>178</c:v>
                </c:pt>
              </c:numCache>
            </c:numRef>
          </c:val>
          <c:extLst>
            <c:ext xmlns:c16="http://schemas.microsoft.com/office/drawing/2014/chart" uri="{C3380CC4-5D6E-409C-BE32-E72D297353CC}">
              <c16:uniqueId val="{00000000-631F-4C0D-B863-363378D564A6}"/>
            </c:ext>
          </c:extLst>
        </c:ser>
        <c:ser>
          <c:idx val="1"/>
          <c:order val="1"/>
          <c:tx>
            <c:strRef>
              <c:f>'Pivot Table'!$C$45:$C$46</c:f>
              <c:strCache>
                <c:ptCount val="1"/>
                <c:pt idx="0">
                  <c:v>Yes</c:v>
                </c:pt>
              </c:strCache>
            </c:strRef>
          </c:tx>
          <c:spPr>
            <a:solidFill>
              <a:schemeClr val="accent2"/>
            </a:solidFill>
            <a:ln>
              <a:noFill/>
            </a:ln>
            <a:effectLst/>
          </c:spPr>
          <c:invertIfNegative val="0"/>
          <c:cat>
            <c:strRef>
              <c:f>'Pivot Table'!$A$47:$A$49</c:f>
              <c:strCache>
                <c:ptCount val="2"/>
                <c:pt idx="0">
                  <c:v>Europe</c:v>
                </c:pt>
                <c:pt idx="1">
                  <c:v>North America</c:v>
                </c:pt>
              </c:strCache>
            </c:strRef>
          </c:cat>
          <c:val>
            <c:numRef>
              <c:f>'Pivot Table'!$C$47:$C$49</c:f>
              <c:numCache>
                <c:formatCode>General</c:formatCode>
                <c:ptCount val="2"/>
                <c:pt idx="0">
                  <c:v>74</c:v>
                </c:pt>
                <c:pt idx="1">
                  <c:v>106</c:v>
                </c:pt>
              </c:numCache>
            </c:numRef>
          </c:val>
          <c:extLst>
            <c:ext xmlns:c16="http://schemas.microsoft.com/office/drawing/2014/chart" uri="{C3380CC4-5D6E-409C-BE32-E72D297353CC}">
              <c16:uniqueId val="{00000001-631F-4C0D-B863-363378D564A6}"/>
            </c:ext>
          </c:extLst>
        </c:ser>
        <c:dLbls>
          <c:showLegendKey val="0"/>
          <c:showVal val="0"/>
          <c:showCatName val="0"/>
          <c:showSerName val="0"/>
          <c:showPercent val="0"/>
          <c:showBubbleSize val="0"/>
        </c:dLbls>
        <c:gapWidth val="219"/>
        <c:overlap val="-27"/>
        <c:axId val="1141382335"/>
        <c:axId val="1141380415"/>
      </c:barChart>
      <c:catAx>
        <c:axId val="114138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80415"/>
        <c:crosses val="autoZero"/>
        <c:auto val="1"/>
        <c:lblAlgn val="ctr"/>
        <c:lblOffset val="100"/>
        <c:noMultiLvlLbl val="0"/>
      </c:catAx>
      <c:valAx>
        <c:axId val="114138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8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Average</a:t>
            </a:r>
            <a:r>
              <a:rPr lang="en-ZW" baseline="0"/>
              <a:t> Income per purchase</a:t>
            </a:r>
          </a:p>
          <a:p>
            <a:pPr>
              <a:defRPr/>
            </a:pPr>
            <a:endParaRPr lang="en-ZW"/>
          </a:p>
        </c:rich>
      </c:tx>
      <c:layout>
        <c:manualLayout>
          <c:xMode val="edge"/>
          <c:yMode val="edge"/>
          <c:x val="0.29504297362419862"/>
          <c:y val="5.719364866625707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9193880645397"/>
          <c:y val="0.22915449450882522"/>
          <c:w val="0.52402306783365227"/>
          <c:h val="0.4213736642870500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"US$"#,##0</c:formatCode>
                <c:ptCount val="2"/>
                <c:pt idx="0">
                  <c:v>55412.84403669725</c:v>
                </c:pt>
                <c:pt idx="1">
                  <c:v>61521.739130434784</c:v>
                </c:pt>
              </c:numCache>
            </c:numRef>
          </c:val>
          <c:extLst>
            <c:ext xmlns:c16="http://schemas.microsoft.com/office/drawing/2014/chart" uri="{C3380CC4-5D6E-409C-BE32-E72D297353CC}">
              <c16:uniqueId val="{00000000-10B1-454C-9A72-F57E6AE11EC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"US$"#,##0</c:formatCode>
                <c:ptCount val="2"/>
                <c:pt idx="0">
                  <c:v>58888.888888888891</c:v>
                </c:pt>
                <c:pt idx="1">
                  <c:v>59777.777777777781</c:v>
                </c:pt>
              </c:numCache>
            </c:numRef>
          </c:val>
          <c:extLst>
            <c:ext xmlns:c16="http://schemas.microsoft.com/office/drawing/2014/chart" uri="{C3380CC4-5D6E-409C-BE32-E72D297353CC}">
              <c16:uniqueId val="{00000001-10B1-454C-9A72-F57E6AE11EC4}"/>
            </c:ext>
          </c:extLst>
        </c:ser>
        <c:dLbls>
          <c:showLegendKey val="0"/>
          <c:showVal val="0"/>
          <c:showCatName val="0"/>
          <c:showSerName val="0"/>
          <c:showPercent val="0"/>
          <c:showBubbleSize val="0"/>
        </c:dLbls>
        <c:gapWidth val="219"/>
        <c:overlap val="-27"/>
        <c:axId val="1028132175"/>
        <c:axId val="1028145615"/>
      </c:barChart>
      <c:catAx>
        <c:axId val="102813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45615"/>
        <c:crosses val="autoZero"/>
        <c:auto val="1"/>
        <c:lblAlgn val="ctr"/>
        <c:lblOffset val="100"/>
        <c:noMultiLvlLbl val="0"/>
      </c:catAx>
      <c:valAx>
        <c:axId val="1028145615"/>
        <c:scaling>
          <c:orientation val="minMax"/>
        </c:scaling>
        <c:delete val="0"/>
        <c:axPos val="l"/>
        <c:majorGridlines>
          <c:spPr>
            <a:ln w="9525" cap="flat" cmpd="sng" algn="ctr">
              <a:solidFill>
                <a:schemeClr val="tx1">
                  <a:lumMod val="15000"/>
                  <a:lumOff val="85000"/>
                </a:schemeClr>
              </a:solidFill>
              <a:round/>
            </a:ln>
            <a:effectLst/>
          </c:spPr>
        </c:majorGridlines>
        <c:numFmt formatCode="&quot;US$&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132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Commute</a:t>
            </a:r>
            <a:r>
              <a:rPr lang="en-ZW" baseline="0"/>
              <a:t> Distance</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89</c:v>
                </c:pt>
                <c:pt idx="1">
                  <c:v>43</c:v>
                </c:pt>
                <c:pt idx="2">
                  <c:v>31</c:v>
                </c:pt>
                <c:pt idx="3">
                  <c:v>43</c:v>
                </c:pt>
                <c:pt idx="4">
                  <c:v>41</c:v>
                </c:pt>
              </c:numCache>
            </c:numRef>
          </c:val>
          <c:smooth val="0"/>
          <c:extLst>
            <c:ext xmlns:c16="http://schemas.microsoft.com/office/drawing/2014/chart" uri="{C3380CC4-5D6E-409C-BE32-E72D297353CC}">
              <c16:uniqueId val="{00000000-3B5B-404B-99E0-360FA81E60F0}"/>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84</c:v>
                </c:pt>
                <c:pt idx="1">
                  <c:v>30</c:v>
                </c:pt>
                <c:pt idx="2">
                  <c:v>37</c:v>
                </c:pt>
                <c:pt idx="3">
                  <c:v>24</c:v>
                </c:pt>
                <c:pt idx="4">
                  <c:v>5</c:v>
                </c:pt>
              </c:numCache>
            </c:numRef>
          </c:val>
          <c:smooth val="0"/>
          <c:extLst>
            <c:ext xmlns:c16="http://schemas.microsoft.com/office/drawing/2014/chart" uri="{C3380CC4-5D6E-409C-BE32-E72D297353CC}">
              <c16:uniqueId val="{00000001-3B5B-404B-99E0-360FA81E60F0}"/>
            </c:ext>
          </c:extLst>
        </c:ser>
        <c:dLbls>
          <c:showLegendKey val="0"/>
          <c:showVal val="0"/>
          <c:showCatName val="0"/>
          <c:showSerName val="0"/>
          <c:showPercent val="0"/>
          <c:showBubbleSize val="0"/>
        </c:dLbls>
        <c:smooth val="0"/>
        <c:axId val="1058329567"/>
        <c:axId val="1058330047"/>
      </c:lineChart>
      <c:catAx>
        <c:axId val="105832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30047"/>
        <c:crosses val="autoZero"/>
        <c:auto val="1"/>
        <c:lblAlgn val="ctr"/>
        <c:lblOffset val="100"/>
        <c:noMultiLvlLbl val="0"/>
      </c:catAx>
      <c:valAx>
        <c:axId val="10583300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29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Customer</a:t>
            </a:r>
            <a:r>
              <a:rPr lang="en-ZW" baseline="0"/>
              <a:t> Age Bracket</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Table'!$A$32:$A$35</c:f>
              <c:strCache>
                <c:ptCount val="3"/>
                <c:pt idx="0">
                  <c:v>Adolescent</c:v>
                </c:pt>
                <c:pt idx="1">
                  <c:v>Middle Age</c:v>
                </c:pt>
                <c:pt idx="2">
                  <c:v>Old</c:v>
                </c:pt>
              </c:strCache>
            </c:strRef>
          </c:cat>
          <c:val>
            <c:numRef>
              <c:f>'Pivot Table'!$B$32:$B$35</c:f>
              <c:numCache>
                <c:formatCode>General</c:formatCode>
                <c:ptCount val="3"/>
                <c:pt idx="0">
                  <c:v>17</c:v>
                </c:pt>
                <c:pt idx="1">
                  <c:v>148</c:v>
                </c:pt>
                <c:pt idx="2">
                  <c:v>82</c:v>
                </c:pt>
              </c:numCache>
            </c:numRef>
          </c:val>
          <c:smooth val="0"/>
          <c:extLst>
            <c:ext xmlns:c16="http://schemas.microsoft.com/office/drawing/2014/chart" uri="{C3380CC4-5D6E-409C-BE32-E72D297353CC}">
              <c16:uniqueId val="{00000000-D92C-491A-BFA7-0A76779048DE}"/>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Table'!$A$32:$A$35</c:f>
              <c:strCache>
                <c:ptCount val="3"/>
                <c:pt idx="0">
                  <c:v>Adolescent</c:v>
                </c:pt>
                <c:pt idx="1">
                  <c:v>Middle Age</c:v>
                </c:pt>
                <c:pt idx="2">
                  <c:v>Old</c:v>
                </c:pt>
              </c:strCache>
            </c:strRef>
          </c:cat>
          <c:val>
            <c:numRef>
              <c:f>'Pivot Table'!$C$32:$C$35</c:f>
              <c:numCache>
                <c:formatCode>General</c:formatCode>
                <c:ptCount val="3"/>
                <c:pt idx="0">
                  <c:v>6</c:v>
                </c:pt>
                <c:pt idx="1">
                  <c:v>152</c:v>
                </c:pt>
                <c:pt idx="2">
                  <c:v>22</c:v>
                </c:pt>
              </c:numCache>
            </c:numRef>
          </c:val>
          <c:smooth val="0"/>
          <c:extLst>
            <c:ext xmlns:c16="http://schemas.microsoft.com/office/drawing/2014/chart" uri="{C3380CC4-5D6E-409C-BE32-E72D297353CC}">
              <c16:uniqueId val="{00000001-D92C-491A-BFA7-0A76779048DE}"/>
            </c:ext>
          </c:extLst>
        </c:ser>
        <c:dLbls>
          <c:showLegendKey val="0"/>
          <c:showVal val="0"/>
          <c:showCatName val="0"/>
          <c:showSerName val="0"/>
          <c:showPercent val="0"/>
          <c:showBubbleSize val="0"/>
        </c:dLbls>
        <c:smooth val="0"/>
        <c:axId val="1153614047"/>
        <c:axId val="1143155535"/>
      </c:lineChart>
      <c:catAx>
        <c:axId val="115361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155535"/>
        <c:crosses val="autoZero"/>
        <c:auto val="1"/>
        <c:lblAlgn val="ctr"/>
        <c:lblOffset val="100"/>
        <c:noMultiLvlLbl val="0"/>
      </c:catAx>
      <c:valAx>
        <c:axId val="114315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14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365760</xdr:colOff>
      <xdr:row>0</xdr:row>
      <xdr:rowOff>160020</xdr:rowOff>
    </xdr:from>
    <xdr:to>
      <xdr:col>10</xdr:col>
      <xdr:colOff>510540</xdr:colOff>
      <xdr:row>12</xdr:row>
      <xdr:rowOff>68580</xdr:rowOff>
    </xdr:to>
    <xdr:graphicFrame macro="">
      <xdr:nvGraphicFramePr>
        <xdr:cNvPr id="2" name="Chart 1">
          <a:extLst>
            <a:ext uri="{FF2B5EF4-FFF2-40B4-BE49-F238E27FC236}">
              <a16:creationId xmlns:a16="http://schemas.microsoft.com/office/drawing/2014/main" id="{92CBD798-10CB-E160-7B15-94E7C9246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335280</xdr:colOff>
      <xdr:row>13</xdr:row>
      <xdr:rowOff>125730</xdr:rowOff>
    </xdr:from>
    <xdr:to>
      <xdr:col>11</xdr:col>
      <xdr:colOff>99060</xdr:colOff>
      <xdr:row>26</xdr:row>
      <xdr:rowOff>68580</xdr:rowOff>
    </xdr:to>
    <xdr:graphicFrame macro="">
      <xdr:nvGraphicFramePr>
        <xdr:cNvPr id="3" name="Chart 2">
          <a:extLst>
            <a:ext uri="{FF2B5EF4-FFF2-40B4-BE49-F238E27FC236}">
              <a16:creationId xmlns:a16="http://schemas.microsoft.com/office/drawing/2014/main" id="{4FACC91D-9854-A698-4833-759FF4242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27</xdr:row>
      <xdr:rowOff>140970</xdr:rowOff>
    </xdr:from>
    <xdr:to>
      <xdr:col>11</xdr:col>
      <xdr:colOff>121920</xdr:colOff>
      <xdr:row>41</xdr:row>
      <xdr:rowOff>7620</xdr:rowOff>
    </xdr:to>
    <xdr:graphicFrame macro="">
      <xdr:nvGraphicFramePr>
        <xdr:cNvPr id="4" name="Chart 3">
          <a:extLst>
            <a:ext uri="{FF2B5EF4-FFF2-40B4-BE49-F238E27FC236}">
              <a16:creationId xmlns:a16="http://schemas.microsoft.com/office/drawing/2014/main" id="{5036057F-122C-DAB8-AAD8-4F8AE413C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320040</xdr:colOff>
      <xdr:row>43</xdr:row>
      <xdr:rowOff>137160</xdr:rowOff>
    </xdr:from>
    <xdr:to>
      <xdr:col>11</xdr:col>
      <xdr:colOff>45720</xdr:colOff>
      <xdr:row>57</xdr:row>
      <xdr:rowOff>163830</xdr:rowOff>
    </xdr:to>
    <xdr:graphicFrame macro="">
      <xdr:nvGraphicFramePr>
        <xdr:cNvPr id="5" name="Chart 4">
          <a:extLst>
            <a:ext uri="{FF2B5EF4-FFF2-40B4-BE49-F238E27FC236}">
              <a16:creationId xmlns:a16="http://schemas.microsoft.com/office/drawing/2014/main" id="{912AF1AD-69BE-283B-6B8E-95D4BEA23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7</xdr:row>
      <xdr:rowOff>53340</xdr:rowOff>
    </xdr:from>
    <xdr:to>
      <xdr:col>9</xdr:col>
      <xdr:colOff>251460</xdr:colOff>
      <xdr:row>24</xdr:row>
      <xdr:rowOff>45720</xdr:rowOff>
    </xdr:to>
    <xdr:graphicFrame macro="">
      <xdr:nvGraphicFramePr>
        <xdr:cNvPr id="2" name="Chart 1">
          <a:extLst>
            <a:ext uri="{FF2B5EF4-FFF2-40B4-BE49-F238E27FC236}">
              <a16:creationId xmlns:a16="http://schemas.microsoft.com/office/drawing/2014/main" id="{204C5AD9-9A48-4103-9466-80EA07FBC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388620</xdr:colOff>
      <xdr:row>7</xdr:row>
      <xdr:rowOff>68580</xdr:rowOff>
    </xdr:from>
    <xdr:to>
      <xdr:col>15</xdr:col>
      <xdr:colOff>236220</xdr:colOff>
      <xdr:row>24</xdr:row>
      <xdr:rowOff>7620</xdr:rowOff>
    </xdr:to>
    <xdr:graphicFrame macro="">
      <xdr:nvGraphicFramePr>
        <xdr:cNvPr id="3" name="Chart 2">
          <a:extLst>
            <a:ext uri="{FF2B5EF4-FFF2-40B4-BE49-F238E27FC236}">
              <a16:creationId xmlns:a16="http://schemas.microsoft.com/office/drawing/2014/main" id="{283FDD37-B201-4805-87EB-4E00706CC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24</xdr:row>
      <xdr:rowOff>152400</xdr:rowOff>
    </xdr:from>
    <xdr:to>
      <xdr:col>15</xdr:col>
      <xdr:colOff>297180</xdr:colOff>
      <xdr:row>39</xdr:row>
      <xdr:rowOff>19050</xdr:rowOff>
    </xdr:to>
    <xdr:graphicFrame macro="">
      <xdr:nvGraphicFramePr>
        <xdr:cNvPr id="4" name="Chart 3">
          <a:extLst>
            <a:ext uri="{FF2B5EF4-FFF2-40B4-BE49-F238E27FC236}">
              <a16:creationId xmlns:a16="http://schemas.microsoft.com/office/drawing/2014/main" id="{1FA5174E-0ED9-4537-977A-3AF5592BD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7</xdr:row>
      <xdr:rowOff>22861</xdr:rowOff>
    </xdr:from>
    <xdr:to>
      <xdr:col>3</xdr:col>
      <xdr:colOff>53340</xdr:colOff>
      <xdr:row>16</xdr:row>
      <xdr:rowOff>45721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AD7AF024-3B53-F237-A907-040A08DB17A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100" y="1303021"/>
              <a:ext cx="1844040" cy="166878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16</xdr:row>
      <xdr:rowOff>160021</xdr:rowOff>
    </xdr:from>
    <xdr:to>
      <xdr:col>3</xdr:col>
      <xdr:colOff>7620</xdr:colOff>
      <xdr:row>26</xdr:row>
      <xdr:rowOff>121921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C2A6BFF-9D49-65A5-BAE4-F354576A53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 y="3086101"/>
              <a:ext cx="1828800" cy="17907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27</xdr:row>
      <xdr:rowOff>1</xdr:rowOff>
    </xdr:from>
    <xdr:to>
      <xdr:col>3</xdr:col>
      <xdr:colOff>22860</xdr:colOff>
      <xdr:row>39</xdr:row>
      <xdr:rowOff>30481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C66CF4E7-CE5E-1477-5ECD-D55F6A0B51B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860" y="4937761"/>
              <a:ext cx="1828800" cy="222504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earch" refreshedDate="46123.179884143516" createdVersion="8" refreshedVersion="8" minRefreshableVersion="3" recordCount="1026" xr:uid="{7DDBFA4B-F062-4150-9C20-6D6B0F386544}">
  <cacheSource type="worksheet">
    <worksheetSource ref="A1:N1027" sheet="Working Sheet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97657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1A2369-C423-47E8-9AE1-0CAB3A0E392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D49" firstHeaderRow="1" firstDataRow="2" firstDataCol="1"/>
  <pivotFields count="14">
    <pivotField showAll="0"/>
    <pivotField showAll="0">
      <items count="3">
        <item x="0"/>
        <item h="1" x="1"/>
        <item t="default"/>
      </items>
    </pivotField>
    <pivotField showAll="0"/>
    <pivotField numFmtId="172" showAll="0"/>
    <pivotField showAll="0"/>
    <pivotField showAll="0">
      <items count="6">
        <item x="0"/>
        <item x="4"/>
        <item x="2"/>
        <item x="1"/>
        <item h="1" x="3"/>
        <item t="default"/>
      </items>
    </pivotField>
    <pivotField showAll="0"/>
    <pivotField showAll="0"/>
    <pivotField showAll="0"/>
    <pivotField showAll="0"/>
    <pivotField axis="axisRow" showAll="0">
      <items count="4">
        <item x="0"/>
        <item x="2"/>
        <item h="1" x="1"/>
        <item t="default"/>
      </items>
    </pivotField>
    <pivotField showAll="0"/>
    <pivotField showAll="0"/>
    <pivotField axis="axisCol" dataField="1" showAll="0">
      <items count="3">
        <item x="0"/>
        <item x="1"/>
        <item t="default"/>
      </items>
    </pivotField>
  </pivotFields>
  <rowFields count="1">
    <field x="10"/>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662C0D-E105-4415-96C2-BDF742409B3E}"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5" firstHeaderRow="1" firstDataRow="2" firstDataCol="1"/>
  <pivotFields count="14">
    <pivotField showAll="0"/>
    <pivotField showAll="0">
      <items count="3">
        <item x="0"/>
        <item h="1" x="1"/>
        <item t="default"/>
      </items>
    </pivotField>
    <pivotField showAll="0"/>
    <pivotField numFmtId="172" showAll="0"/>
    <pivotField showAll="0"/>
    <pivotField showAll="0">
      <items count="6">
        <item x="0"/>
        <item x="4"/>
        <item x="2"/>
        <item x="1"/>
        <item h="1" x="3"/>
        <item t="default"/>
      </items>
    </pivotField>
    <pivotField showAll="0"/>
    <pivotField showAll="0"/>
    <pivotField showAll="0"/>
    <pivotField showAll="0"/>
    <pivotField showAll="0">
      <items count="4">
        <item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4EB070-7101-44FA-9399-73601B00C3C3}"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D24" firstHeaderRow="1" firstDataRow="2" firstDataCol="1"/>
  <pivotFields count="14">
    <pivotField showAll="0"/>
    <pivotField showAll="0">
      <items count="3">
        <item x="0"/>
        <item h="1" x="1"/>
        <item t="default"/>
      </items>
    </pivotField>
    <pivotField showAll="0"/>
    <pivotField numFmtId="172" showAll="0"/>
    <pivotField showAll="0"/>
    <pivotField showAll="0">
      <items count="6">
        <item x="0"/>
        <item x="4"/>
        <item x="2"/>
        <item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1">
          <reference field="13" count="1" selected="0">
            <x v="0"/>
          </reference>
        </references>
      </pivotArea>
    </chartFormat>
    <chartFormat chart="3" format="1" series="1">
      <pivotArea type="data" outline="0" fieldPosition="0">
        <references count="1">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49B934-425D-4F84-A882-8CAADE5553B4}"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72" showAll="0"/>
    <pivotField showAll="0"/>
    <pivotField showAll="0">
      <items count="6">
        <item x="0"/>
        <item x="4"/>
        <item x="2"/>
        <item x="1"/>
        <item h="1" x="3"/>
        <item t="default"/>
      </items>
    </pivotField>
    <pivotField showAll="0"/>
    <pivotField showAll="0"/>
    <pivotField showAll="0"/>
    <pivotField showAll="0"/>
    <pivotField showAll="0">
      <items count="4">
        <item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069FB12-0664-4E2C-B61D-11583056AD44}" sourceName="Marital Status">
  <pivotTables>
    <pivotTable tabId="3" name="PivotTable1"/>
    <pivotTable tabId="3" name="PivotTable2"/>
    <pivotTable tabId="3" name="PivotTable3"/>
    <pivotTable tabId="3" name="PivotTable4"/>
  </pivotTables>
  <data>
    <tabular pivotCacheId="59765729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211E9D-835A-4D19-B9DF-1B98A4ACED8D}" sourceName="Region">
  <pivotTables>
    <pivotTable tabId="3" name="PivotTable1"/>
    <pivotTable tabId="3" name="PivotTable2"/>
    <pivotTable tabId="3" name="PivotTable3"/>
    <pivotTable tabId="3" name="PivotTable4"/>
  </pivotTables>
  <data>
    <tabular pivotCacheId="597657298">
      <items count="3">
        <i x="0" s="1"/>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67B041-F268-431A-BC1E-F00E704500A1}" sourceName="Education">
  <pivotTables>
    <pivotTable tabId="3" name="PivotTable1"/>
    <pivotTable tabId="3" name="PivotTable2"/>
    <pivotTable tabId="3" name="PivotTable3"/>
    <pivotTable tabId="3" name="PivotTable4"/>
  </pivotTables>
  <data>
    <tabular pivotCacheId="597657298">
      <items count="5">
        <i x="0" s="1"/>
        <i x="4" s="1"/>
        <i x="2" s="1"/>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CC4F9C0-BC15-47FA-A91C-0441979B3E5A}" cache="Slicer_Marital_Status" caption="Marital Status" rowHeight="234950"/>
  <slicer name="Region" xr10:uid="{B61A1826-71B4-494F-A0BD-D9F270B803A6}" cache="Slicer_Region" caption="Region" rowHeight="234950"/>
  <slicer name="Education" xr10:uid="{8CDC0D15-B919-4996-923D-E94D1232EB8D}"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6F07F-0C57-489D-9D7A-473EE9E8DF69}">
  <dimension ref="A1:N1027"/>
  <sheetViews>
    <sheetView topLeftCell="C1017" workbookViewId="0">
      <selection activeCell="P20" sqref="P20"/>
    </sheetView>
  </sheetViews>
  <sheetFormatPr defaultColWidth="11.88671875" defaultRowHeight="14.4"/>
  <cols>
    <col min="4" max="4" width="15.33203125" bestFit="1" customWidth="1"/>
    <col min="14" max="14" width="15.44140625" customWidth="1"/>
  </cols>
  <sheetData>
    <row r="1" spans="1:14">
      <c r="A1" t="s">
        <v>0</v>
      </c>
      <c r="B1" t="s">
        <v>1</v>
      </c>
      <c r="C1" t="s">
        <v>2</v>
      </c>
      <c r="D1" t="s">
        <v>3</v>
      </c>
      <c r="E1" t="s">
        <v>4</v>
      </c>
      <c r="F1" t="s">
        <v>5</v>
      </c>
      <c r="G1" t="s">
        <v>6</v>
      </c>
      <c r="H1" t="s">
        <v>7</v>
      </c>
      <c r="I1" t="s">
        <v>8</v>
      </c>
      <c r="J1" t="s">
        <v>9</v>
      </c>
      <c r="K1" t="s">
        <v>10</v>
      </c>
      <c r="L1" t="s">
        <v>11</v>
      </c>
      <c r="M1" t="s">
        <v>36</v>
      </c>
      <c r="N1" t="s">
        <v>12</v>
      </c>
    </row>
    <row r="2" spans="1:14">
      <c r="A2">
        <v>12496</v>
      </c>
      <c r="B2" t="s">
        <v>32</v>
      </c>
      <c r="C2" t="s">
        <v>34</v>
      </c>
      <c r="D2" s="2">
        <v>40000</v>
      </c>
      <c r="E2">
        <v>1</v>
      </c>
      <c r="F2" t="s">
        <v>13</v>
      </c>
      <c r="G2" t="s">
        <v>14</v>
      </c>
      <c r="H2" t="s">
        <v>15</v>
      </c>
      <c r="I2">
        <v>0</v>
      </c>
      <c r="J2" t="s">
        <v>16</v>
      </c>
      <c r="K2" t="s">
        <v>17</v>
      </c>
      <c r="L2">
        <v>42</v>
      </c>
      <c r="M2" t="str">
        <f>IF(L2&gt;54, "Old", IF(L2&gt;=31,"Middle Age", IF(L2&lt;31,"Adolescent","Invalid")))</f>
        <v>Middle Age</v>
      </c>
      <c r="N2" t="s">
        <v>18</v>
      </c>
    </row>
    <row r="3" spans="1:14">
      <c r="A3">
        <v>24107</v>
      </c>
      <c r="B3" t="s">
        <v>32</v>
      </c>
      <c r="C3" t="s">
        <v>35</v>
      </c>
      <c r="D3" s="2">
        <v>30000</v>
      </c>
      <c r="E3">
        <v>3</v>
      </c>
      <c r="F3" t="s">
        <v>19</v>
      </c>
      <c r="G3" t="s">
        <v>20</v>
      </c>
      <c r="H3" t="s">
        <v>15</v>
      </c>
      <c r="I3">
        <v>1</v>
      </c>
      <c r="J3" t="s">
        <v>16</v>
      </c>
      <c r="K3" t="s">
        <v>17</v>
      </c>
      <c r="L3">
        <v>43</v>
      </c>
      <c r="M3" t="str">
        <f t="shared" ref="M3:M66" si="0">IF(L3&gt;54, "Old", IF(L3&gt;=31,"Middle Age", IF(L3&lt;31,"Adolescent","Invalid")))</f>
        <v>Middle Age</v>
      </c>
      <c r="N3" t="s">
        <v>18</v>
      </c>
    </row>
    <row r="4" spans="1:14">
      <c r="A4">
        <v>14177</v>
      </c>
      <c r="B4" t="s">
        <v>32</v>
      </c>
      <c r="C4" t="s">
        <v>35</v>
      </c>
      <c r="D4" s="2">
        <v>80000</v>
      </c>
      <c r="E4">
        <v>5</v>
      </c>
      <c r="F4" t="s">
        <v>19</v>
      </c>
      <c r="G4" t="s">
        <v>21</v>
      </c>
      <c r="H4" t="s">
        <v>18</v>
      </c>
      <c r="I4">
        <v>2</v>
      </c>
      <c r="J4" t="s">
        <v>22</v>
      </c>
      <c r="K4" t="s">
        <v>17</v>
      </c>
      <c r="L4">
        <v>60</v>
      </c>
      <c r="M4" t="str">
        <f t="shared" si="0"/>
        <v>Old</v>
      </c>
      <c r="N4" t="s">
        <v>18</v>
      </c>
    </row>
    <row r="5" spans="1:14">
      <c r="A5">
        <v>24381</v>
      </c>
      <c r="B5" t="s">
        <v>33</v>
      </c>
      <c r="C5" t="s">
        <v>35</v>
      </c>
      <c r="D5" s="2">
        <v>70000</v>
      </c>
      <c r="E5">
        <v>0</v>
      </c>
      <c r="F5" t="s">
        <v>13</v>
      </c>
      <c r="G5" t="s">
        <v>21</v>
      </c>
      <c r="H5" t="s">
        <v>15</v>
      </c>
      <c r="I5">
        <v>1</v>
      </c>
      <c r="J5" t="s">
        <v>23</v>
      </c>
      <c r="K5" t="s">
        <v>24</v>
      </c>
      <c r="L5">
        <v>41</v>
      </c>
      <c r="M5" t="str">
        <f t="shared" si="0"/>
        <v>Middle Age</v>
      </c>
      <c r="N5" t="s">
        <v>15</v>
      </c>
    </row>
    <row r="6" spans="1:14">
      <c r="A6">
        <v>25597</v>
      </c>
      <c r="B6" t="s">
        <v>33</v>
      </c>
      <c r="C6" t="s">
        <v>35</v>
      </c>
      <c r="D6" s="2">
        <v>30000</v>
      </c>
      <c r="E6">
        <v>0</v>
      </c>
      <c r="F6" t="s">
        <v>13</v>
      </c>
      <c r="G6" t="s">
        <v>20</v>
      </c>
      <c r="H6" t="s">
        <v>18</v>
      </c>
      <c r="I6">
        <v>0</v>
      </c>
      <c r="J6" t="s">
        <v>16</v>
      </c>
      <c r="K6" t="s">
        <v>17</v>
      </c>
      <c r="L6">
        <v>36</v>
      </c>
      <c r="M6" t="str">
        <f t="shared" si="0"/>
        <v>Middle Age</v>
      </c>
      <c r="N6" t="s">
        <v>15</v>
      </c>
    </row>
    <row r="7" spans="1:14">
      <c r="A7">
        <v>13507</v>
      </c>
      <c r="B7" t="s">
        <v>32</v>
      </c>
      <c r="C7" t="s">
        <v>34</v>
      </c>
      <c r="D7" s="2">
        <v>10000</v>
      </c>
      <c r="E7">
        <v>2</v>
      </c>
      <c r="F7" t="s">
        <v>19</v>
      </c>
      <c r="G7" t="s">
        <v>25</v>
      </c>
      <c r="H7" t="s">
        <v>15</v>
      </c>
      <c r="I7">
        <v>0</v>
      </c>
      <c r="J7" t="s">
        <v>26</v>
      </c>
      <c r="K7" t="s">
        <v>17</v>
      </c>
      <c r="L7">
        <v>50</v>
      </c>
      <c r="M7" t="str">
        <f t="shared" si="0"/>
        <v>Middle Age</v>
      </c>
      <c r="N7" t="s">
        <v>18</v>
      </c>
    </row>
    <row r="8" spans="1:14">
      <c r="A8">
        <v>27974</v>
      </c>
      <c r="B8" t="s">
        <v>33</v>
      </c>
      <c r="C8" t="s">
        <v>35</v>
      </c>
      <c r="D8" s="2">
        <v>160000</v>
      </c>
      <c r="E8">
        <v>2</v>
      </c>
      <c r="F8" t="s">
        <v>27</v>
      </c>
      <c r="G8" t="s">
        <v>28</v>
      </c>
      <c r="H8" t="s">
        <v>15</v>
      </c>
      <c r="I8">
        <v>4</v>
      </c>
      <c r="J8" t="s">
        <v>16</v>
      </c>
      <c r="K8" t="s">
        <v>24</v>
      </c>
      <c r="L8">
        <v>33</v>
      </c>
      <c r="M8" t="str">
        <f t="shared" si="0"/>
        <v>Middle Age</v>
      </c>
      <c r="N8" t="s">
        <v>15</v>
      </c>
    </row>
    <row r="9" spans="1:14">
      <c r="A9">
        <v>19364</v>
      </c>
      <c r="B9" t="s">
        <v>32</v>
      </c>
      <c r="C9" t="s">
        <v>35</v>
      </c>
      <c r="D9" s="2">
        <v>40000</v>
      </c>
      <c r="E9">
        <v>1</v>
      </c>
      <c r="F9" t="s">
        <v>13</v>
      </c>
      <c r="G9" t="s">
        <v>14</v>
      </c>
      <c r="H9" t="s">
        <v>15</v>
      </c>
      <c r="I9">
        <v>0</v>
      </c>
      <c r="J9" t="s">
        <v>16</v>
      </c>
      <c r="K9" t="s">
        <v>17</v>
      </c>
      <c r="L9">
        <v>43</v>
      </c>
      <c r="M9" t="str">
        <f t="shared" si="0"/>
        <v>Middle Age</v>
      </c>
      <c r="N9" t="s">
        <v>15</v>
      </c>
    </row>
    <row r="10" spans="1:14">
      <c r="A10">
        <v>22155</v>
      </c>
      <c r="B10" t="s">
        <v>32</v>
      </c>
      <c r="C10" t="s">
        <v>35</v>
      </c>
      <c r="D10" s="2">
        <v>20000</v>
      </c>
      <c r="E10">
        <v>2</v>
      </c>
      <c r="F10" t="s">
        <v>29</v>
      </c>
      <c r="G10" t="s">
        <v>20</v>
      </c>
      <c r="H10" t="s">
        <v>15</v>
      </c>
      <c r="I10">
        <v>2</v>
      </c>
      <c r="J10" t="s">
        <v>23</v>
      </c>
      <c r="K10" t="s">
        <v>24</v>
      </c>
      <c r="L10">
        <v>58</v>
      </c>
      <c r="M10" t="str">
        <f t="shared" si="0"/>
        <v>Old</v>
      </c>
      <c r="N10" t="s">
        <v>18</v>
      </c>
    </row>
    <row r="11" spans="1:14">
      <c r="A11">
        <v>19280</v>
      </c>
      <c r="B11" t="s">
        <v>32</v>
      </c>
      <c r="C11" t="s">
        <v>35</v>
      </c>
      <c r="D11" s="2">
        <v>120000</v>
      </c>
      <c r="E11">
        <v>2</v>
      </c>
      <c r="F11" t="s">
        <v>19</v>
      </c>
      <c r="G11" t="s">
        <v>25</v>
      </c>
      <c r="H11" t="s">
        <v>15</v>
      </c>
      <c r="I11">
        <v>1</v>
      </c>
      <c r="J11" t="s">
        <v>16</v>
      </c>
      <c r="K11" t="s">
        <v>17</v>
      </c>
      <c r="L11">
        <v>40</v>
      </c>
      <c r="M11" t="str">
        <f t="shared" si="0"/>
        <v>Middle Age</v>
      </c>
      <c r="N11" t="s">
        <v>15</v>
      </c>
    </row>
    <row r="12" spans="1:14">
      <c r="A12">
        <v>22173</v>
      </c>
      <c r="B12" t="s">
        <v>32</v>
      </c>
      <c r="C12" t="s">
        <v>34</v>
      </c>
      <c r="D12" s="2">
        <v>30000</v>
      </c>
      <c r="E12">
        <v>3</v>
      </c>
      <c r="F12" t="s">
        <v>27</v>
      </c>
      <c r="G12" t="s">
        <v>14</v>
      </c>
      <c r="H12" t="s">
        <v>18</v>
      </c>
      <c r="I12">
        <v>2</v>
      </c>
      <c r="J12" t="s">
        <v>26</v>
      </c>
      <c r="K12" t="s">
        <v>24</v>
      </c>
      <c r="L12">
        <v>54</v>
      </c>
      <c r="M12" t="str">
        <f t="shared" si="0"/>
        <v>Middle Age</v>
      </c>
      <c r="N12" t="s">
        <v>15</v>
      </c>
    </row>
    <row r="13" spans="1:14">
      <c r="A13">
        <v>12697</v>
      </c>
      <c r="B13" t="s">
        <v>33</v>
      </c>
      <c r="C13" t="s">
        <v>34</v>
      </c>
      <c r="D13" s="2">
        <v>90000</v>
      </c>
      <c r="E13">
        <v>0</v>
      </c>
      <c r="F13" t="s">
        <v>13</v>
      </c>
      <c r="G13" t="s">
        <v>21</v>
      </c>
      <c r="H13" t="s">
        <v>18</v>
      </c>
      <c r="I13">
        <v>4</v>
      </c>
      <c r="J13" t="s">
        <v>43</v>
      </c>
      <c r="K13" t="s">
        <v>24</v>
      </c>
      <c r="L13">
        <v>36</v>
      </c>
      <c r="M13" t="str">
        <f t="shared" si="0"/>
        <v>Middle Age</v>
      </c>
      <c r="N13" t="s">
        <v>18</v>
      </c>
    </row>
    <row r="14" spans="1:14">
      <c r="A14">
        <v>11434</v>
      </c>
      <c r="B14" t="s">
        <v>32</v>
      </c>
      <c r="C14" t="s">
        <v>35</v>
      </c>
      <c r="D14" s="2">
        <v>170000</v>
      </c>
      <c r="E14">
        <v>5</v>
      </c>
      <c r="F14" t="s">
        <v>19</v>
      </c>
      <c r="G14" t="s">
        <v>21</v>
      </c>
      <c r="H14" t="s">
        <v>15</v>
      </c>
      <c r="I14">
        <v>0</v>
      </c>
      <c r="J14" t="s">
        <v>16</v>
      </c>
      <c r="K14" t="s">
        <v>17</v>
      </c>
      <c r="L14">
        <v>55</v>
      </c>
      <c r="M14" t="str">
        <f t="shared" si="0"/>
        <v>Old</v>
      </c>
      <c r="N14" t="s">
        <v>18</v>
      </c>
    </row>
    <row r="15" spans="1:14">
      <c r="A15">
        <v>25323</v>
      </c>
      <c r="B15" t="s">
        <v>32</v>
      </c>
      <c r="C15" t="s">
        <v>35</v>
      </c>
      <c r="D15" s="2">
        <v>40000</v>
      </c>
      <c r="E15">
        <v>2</v>
      </c>
      <c r="F15" t="s">
        <v>19</v>
      </c>
      <c r="G15" t="s">
        <v>20</v>
      </c>
      <c r="H15" t="s">
        <v>15</v>
      </c>
      <c r="I15">
        <v>1</v>
      </c>
      <c r="J15" t="s">
        <v>26</v>
      </c>
      <c r="K15" t="s">
        <v>17</v>
      </c>
      <c r="L15">
        <v>35</v>
      </c>
      <c r="M15" t="str">
        <f t="shared" si="0"/>
        <v>Middle Age</v>
      </c>
      <c r="N15" t="s">
        <v>15</v>
      </c>
    </row>
    <row r="16" spans="1:14">
      <c r="A16">
        <v>23542</v>
      </c>
      <c r="B16" t="s">
        <v>33</v>
      </c>
      <c r="C16" t="s">
        <v>35</v>
      </c>
      <c r="D16" s="2">
        <v>60000</v>
      </c>
      <c r="E16">
        <v>1</v>
      </c>
      <c r="F16" t="s">
        <v>19</v>
      </c>
      <c r="G16" t="s">
        <v>14</v>
      </c>
      <c r="H16" t="s">
        <v>18</v>
      </c>
      <c r="I16">
        <v>1</v>
      </c>
      <c r="J16" t="s">
        <v>16</v>
      </c>
      <c r="K16" t="s">
        <v>24</v>
      </c>
      <c r="L16">
        <v>45</v>
      </c>
      <c r="M16" t="str">
        <f t="shared" si="0"/>
        <v>Middle Age</v>
      </c>
      <c r="N16" t="s">
        <v>15</v>
      </c>
    </row>
    <row r="17" spans="1:14">
      <c r="A17">
        <v>20870</v>
      </c>
      <c r="B17" t="s">
        <v>33</v>
      </c>
      <c r="C17" t="s">
        <v>34</v>
      </c>
      <c r="D17" s="2">
        <v>10000</v>
      </c>
      <c r="E17">
        <v>2</v>
      </c>
      <c r="F17" t="s">
        <v>27</v>
      </c>
      <c r="G17" t="s">
        <v>25</v>
      </c>
      <c r="H17" t="s">
        <v>15</v>
      </c>
      <c r="I17">
        <v>1</v>
      </c>
      <c r="J17" t="s">
        <v>16</v>
      </c>
      <c r="K17" t="s">
        <v>17</v>
      </c>
      <c r="L17">
        <v>38</v>
      </c>
      <c r="M17" t="str">
        <f t="shared" si="0"/>
        <v>Middle Age</v>
      </c>
      <c r="N17" t="s">
        <v>15</v>
      </c>
    </row>
    <row r="18" spans="1:14">
      <c r="A18">
        <v>23316</v>
      </c>
      <c r="B18" t="s">
        <v>33</v>
      </c>
      <c r="C18" t="s">
        <v>35</v>
      </c>
      <c r="D18" s="2">
        <v>30000</v>
      </c>
      <c r="E18">
        <v>3</v>
      </c>
      <c r="F18" t="s">
        <v>19</v>
      </c>
      <c r="G18" t="s">
        <v>20</v>
      </c>
      <c r="H18" t="s">
        <v>18</v>
      </c>
      <c r="I18">
        <v>2</v>
      </c>
      <c r="J18" t="s">
        <v>26</v>
      </c>
      <c r="K18" t="s">
        <v>24</v>
      </c>
      <c r="L18">
        <v>59</v>
      </c>
      <c r="M18" t="str">
        <f t="shared" si="0"/>
        <v>Old</v>
      </c>
      <c r="N18" t="s">
        <v>15</v>
      </c>
    </row>
    <row r="19" spans="1:14">
      <c r="A19">
        <v>12610</v>
      </c>
      <c r="B19" t="s">
        <v>32</v>
      </c>
      <c r="C19" t="s">
        <v>34</v>
      </c>
      <c r="D19" s="2">
        <v>30000</v>
      </c>
      <c r="E19">
        <v>1</v>
      </c>
      <c r="F19" t="s">
        <v>13</v>
      </c>
      <c r="G19" t="s">
        <v>20</v>
      </c>
      <c r="H19" t="s">
        <v>15</v>
      </c>
      <c r="I19">
        <v>0</v>
      </c>
      <c r="J19" t="s">
        <v>16</v>
      </c>
      <c r="K19" t="s">
        <v>17</v>
      </c>
      <c r="L19">
        <v>47</v>
      </c>
      <c r="M19" t="str">
        <f t="shared" si="0"/>
        <v>Middle Age</v>
      </c>
      <c r="N19" t="s">
        <v>18</v>
      </c>
    </row>
    <row r="20" spans="1:14">
      <c r="A20">
        <v>27183</v>
      </c>
      <c r="B20" t="s">
        <v>33</v>
      </c>
      <c r="C20" t="s">
        <v>35</v>
      </c>
      <c r="D20" s="2">
        <v>40000</v>
      </c>
      <c r="E20">
        <v>2</v>
      </c>
      <c r="F20" t="s">
        <v>19</v>
      </c>
      <c r="G20" t="s">
        <v>20</v>
      </c>
      <c r="H20" t="s">
        <v>15</v>
      </c>
      <c r="I20">
        <v>1</v>
      </c>
      <c r="J20" t="s">
        <v>26</v>
      </c>
      <c r="K20" t="s">
        <v>17</v>
      </c>
      <c r="L20">
        <v>35</v>
      </c>
      <c r="M20" t="str">
        <f t="shared" si="0"/>
        <v>Middle Age</v>
      </c>
      <c r="N20" t="s">
        <v>15</v>
      </c>
    </row>
    <row r="21" spans="1:14">
      <c r="A21">
        <v>25940</v>
      </c>
      <c r="B21" t="s">
        <v>33</v>
      </c>
      <c r="C21" t="s">
        <v>35</v>
      </c>
      <c r="D21" s="2">
        <v>20000</v>
      </c>
      <c r="E21">
        <v>2</v>
      </c>
      <c r="F21" t="s">
        <v>29</v>
      </c>
      <c r="G21" t="s">
        <v>20</v>
      </c>
      <c r="H21" t="s">
        <v>15</v>
      </c>
      <c r="I21">
        <v>2</v>
      </c>
      <c r="J21" t="s">
        <v>23</v>
      </c>
      <c r="K21" t="s">
        <v>24</v>
      </c>
      <c r="L21">
        <v>55</v>
      </c>
      <c r="M21" t="str">
        <f t="shared" si="0"/>
        <v>Old</v>
      </c>
      <c r="N21" t="s">
        <v>15</v>
      </c>
    </row>
    <row r="22" spans="1:14">
      <c r="A22">
        <v>25598</v>
      </c>
      <c r="B22" t="s">
        <v>32</v>
      </c>
      <c r="C22" t="s">
        <v>34</v>
      </c>
      <c r="D22" s="2">
        <v>40000</v>
      </c>
      <c r="E22">
        <v>0</v>
      </c>
      <c r="F22" t="s">
        <v>30</v>
      </c>
      <c r="G22" t="s">
        <v>20</v>
      </c>
      <c r="H22" t="s">
        <v>15</v>
      </c>
      <c r="I22">
        <v>0</v>
      </c>
      <c r="J22" t="s">
        <v>16</v>
      </c>
      <c r="K22" t="s">
        <v>17</v>
      </c>
      <c r="L22">
        <v>36</v>
      </c>
      <c r="M22" t="str">
        <f t="shared" si="0"/>
        <v>Middle Age</v>
      </c>
      <c r="N22" t="s">
        <v>15</v>
      </c>
    </row>
    <row r="23" spans="1:14">
      <c r="A23">
        <v>21564</v>
      </c>
      <c r="B23" t="s">
        <v>33</v>
      </c>
      <c r="C23" t="s">
        <v>34</v>
      </c>
      <c r="D23" s="2">
        <v>80000</v>
      </c>
      <c r="E23">
        <v>0</v>
      </c>
      <c r="F23" t="s">
        <v>13</v>
      </c>
      <c r="G23" t="s">
        <v>21</v>
      </c>
      <c r="H23" t="s">
        <v>15</v>
      </c>
      <c r="I23">
        <v>4</v>
      </c>
      <c r="J23" t="s">
        <v>43</v>
      </c>
      <c r="K23" t="s">
        <v>24</v>
      </c>
      <c r="L23">
        <v>35</v>
      </c>
      <c r="M23" t="str">
        <f t="shared" si="0"/>
        <v>Middle Age</v>
      </c>
      <c r="N23" t="s">
        <v>18</v>
      </c>
    </row>
    <row r="24" spans="1:14">
      <c r="A24">
        <v>19193</v>
      </c>
      <c r="B24" t="s">
        <v>33</v>
      </c>
      <c r="C24" t="s">
        <v>35</v>
      </c>
      <c r="D24" s="2">
        <v>40000</v>
      </c>
      <c r="E24">
        <v>2</v>
      </c>
      <c r="F24" t="s">
        <v>19</v>
      </c>
      <c r="G24" t="s">
        <v>20</v>
      </c>
      <c r="H24" t="s">
        <v>15</v>
      </c>
      <c r="I24">
        <v>0</v>
      </c>
      <c r="J24" t="s">
        <v>26</v>
      </c>
      <c r="K24" t="s">
        <v>17</v>
      </c>
      <c r="L24">
        <v>35</v>
      </c>
      <c r="M24" t="str">
        <f t="shared" si="0"/>
        <v>Middle Age</v>
      </c>
      <c r="N24" t="s">
        <v>15</v>
      </c>
    </row>
    <row r="25" spans="1:14">
      <c r="A25">
        <v>26412</v>
      </c>
      <c r="B25" t="s">
        <v>32</v>
      </c>
      <c r="C25" t="s">
        <v>34</v>
      </c>
      <c r="D25" s="2">
        <v>80000</v>
      </c>
      <c r="E25">
        <v>5</v>
      </c>
      <c r="F25" t="s">
        <v>27</v>
      </c>
      <c r="G25" t="s">
        <v>28</v>
      </c>
      <c r="H25" t="s">
        <v>18</v>
      </c>
      <c r="I25">
        <v>3</v>
      </c>
      <c r="J25" t="s">
        <v>23</v>
      </c>
      <c r="K25" t="s">
        <v>17</v>
      </c>
      <c r="L25">
        <v>56</v>
      </c>
      <c r="M25" t="str">
        <f t="shared" si="0"/>
        <v>Old</v>
      </c>
      <c r="N25" t="s">
        <v>18</v>
      </c>
    </row>
    <row r="26" spans="1:14">
      <c r="A26">
        <v>27184</v>
      </c>
      <c r="B26" t="s">
        <v>33</v>
      </c>
      <c r="C26" t="s">
        <v>35</v>
      </c>
      <c r="D26" s="2">
        <v>40000</v>
      </c>
      <c r="E26">
        <v>2</v>
      </c>
      <c r="F26" t="s">
        <v>19</v>
      </c>
      <c r="G26" t="s">
        <v>20</v>
      </c>
      <c r="H26" t="s">
        <v>18</v>
      </c>
      <c r="I26">
        <v>1</v>
      </c>
      <c r="J26" t="s">
        <v>16</v>
      </c>
      <c r="K26" t="s">
        <v>17</v>
      </c>
      <c r="L26">
        <v>34</v>
      </c>
      <c r="M26" t="str">
        <f t="shared" si="0"/>
        <v>Middle Age</v>
      </c>
      <c r="N26" t="s">
        <v>18</v>
      </c>
    </row>
    <row r="27" spans="1:14">
      <c r="A27">
        <v>12590</v>
      </c>
      <c r="B27" t="s">
        <v>33</v>
      </c>
      <c r="C27" t="s">
        <v>35</v>
      </c>
      <c r="D27" s="2">
        <v>30000</v>
      </c>
      <c r="E27">
        <v>1</v>
      </c>
      <c r="F27" t="s">
        <v>13</v>
      </c>
      <c r="G27" t="s">
        <v>20</v>
      </c>
      <c r="H27" t="s">
        <v>15</v>
      </c>
      <c r="I27">
        <v>0</v>
      </c>
      <c r="J27" t="s">
        <v>16</v>
      </c>
      <c r="K27" t="s">
        <v>17</v>
      </c>
      <c r="L27">
        <v>63</v>
      </c>
      <c r="M27" t="str">
        <f t="shared" si="0"/>
        <v>Old</v>
      </c>
      <c r="N27" t="s">
        <v>18</v>
      </c>
    </row>
    <row r="28" spans="1:14">
      <c r="A28">
        <v>17841</v>
      </c>
      <c r="B28" t="s">
        <v>33</v>
      </c>
      <c r="C28" t="s">
        <v>35</v>
      </c>
      <c r="D28" s="2">
        <v>30000</v>
      </c>
      <c r="E28">
        <v>0</v>
      </c>
      <c r="F28" t="s">
        <v>19</v>
      </c>
      <c r="G28" t="s">
        <v>20</v>
      </c>
      <c r="H28" t="s">
        <v>18</v>
      </c>
      <c r="I28">
        <v>1</v>
      </c>
      <c r="J28" t="s">
        <v>16</v>
      </c>
      <c r="K28" t="s">
        <v>17</v>
      </c>
      <c r="L28">
        <v>29</v>
      </c>
      <c r="M28" t="str">
        <f t="shared" si="0"/>
        <v>Adolescent</v>
      </c>
      <c r="N28" t="s">
        <v>15</v>
      </c>
    </row>
    <row r="29" spans="1:14">
      <c r="A29">
        <v>18283</v>
      </c>
      <c r="B29" t="s">
        <v>33</v>
      </c>
      <c r="C29" t="s">
        <v>34</v>
      </c>
      <c r="D29" s="2">
        <v>100000</v>
      </c>
      <c r="E29">
        <v>0</v>
      </c>
      <c r="F29" t="s">
        <v>13</v>
      </c>
      <c r="G29" t="s">
        <v>21</v>
      </c>
      <c r="H29" t="s">
        <v>18</v>
      </c>
      <c r="I29">
        <v>1</v>
      </c>
      <c r="J29" t="s">
        <v>23</v>
      </c>
      <c r="K29" t="s">
        <v>24</v>
      </c>
      <c r="L29">
        <v>40</v>
      </c>
      <c r="M29" t="str">
        <f t="shared" si="0"/>
        <v>Middle Age</v>
      </c>
      <c r="N29" t="s">
        <v>18</v>
      </c>
    </row>
    <row r="30" spans="1:14">
      <c r="A30">
        <v>18299</v>
      </c>
      <c r="B30" t="s">
        <v>32</v>
      </c>
      <c r="C30" t="s">
        <v>35</v>
      </c>
      <c r="D30" s="2">
        <v>70000</v>
      </c>
      <c r="E30">
        <v>5</v>
      </c>
      <c r="F30" t="s">
        <v>19</v>
      </c>
      <c r="G30" t="s">
        <v>14</v>
      </c>
      <c r="H30" t="s">
        <v>15</v>
      </c>
      <c r="I30">
        <v>2</v>
      </c>
      <c r="J30" t="s">
        <v>23</v>
      </c>
      <c r="K30" t="s">
        <v>24</v>
      </c>
      <c r="L30">
        <v>44</v>
      </c>
      <c r="M30" t="str">
        <f t="shared" si="0"/>
        <v>Middle Age</v>
      </c>
      <c r="N30" t="s">
        <v>18</v>
      </c>
    </row>
    <row r="31" spans="1:14">
      <c r="A31">
        <v>16466</v>
      </c>
      <c r="B31" t="s">
        <v>33</v>
      </c>
      <c r="C31" t="s">
        <v>34</v>
      </c>
      <c r="D31" s="2">
        <v>20000</v>
      </c>
      <c r="E31">
        <v>0</v>
      </c>
      <c r="F31" t="s">
        <v>29</v>
      </c>
      <c r="G31" t="s">
        <v>25</v>
      </c>
      <c r="H31" t="s">
        <v>18</v>
      </c>
      <c r="I31">
        <v>2</v>
      </c>
      <c r="J31" t="s">
        <v>16</v>
      </c>
      <c r="K31" t="s">
        <v>17</v>
      </c>
      <c r="L31">
        <v>32</v>
      </c>
      <c r="M31" t="str">
        <f t="shared" si="0"/>
        <v>Middle Age</v>
      </c>
      <c r="N31" t="s">
        <v>15</v>
      </c>
    </row>
    <row r="32" spans="1:14">
      <c r="A32">
        <v>19273</v>
      </c>
      <c r="B32" t="s">
        <v>32</v>
      </c>
      <c r="C32" t="s">
        <v>34</v>
      </c>
      <c r="D32" s="2">
        <v>20000</v>
      </c>
      <c r="E32">
        <v>2</v>
      </c>
      <c r="F32" t="s">
        <v>19</v>
      </c>
      <c r="G32" t="s">
        <v>25</v>
      </c>
      <c r="H32" t="s">
        <v>15</v>
      </c>
      <c r="I32">
        <v>0</v>
      </c>
      <c r="J32" t="s">
        <v>16</v>
      </c>
      <c r="K32" t="s">
        <v>17</v>
      </c>
      <c r="L32">
        <v>63</v>
      </c>
      <c r="M32" t="str">
        <f t="shared" si="0"/>
        <v>Old</v>
      </c>
      <c r="N32" t="s">
        <v>18</v>
      </c>
    </row>
    <row r="33" spans="1:14">
      <c r="A33">
        <v>22400</v>
      </c>
      <c r="B33" t="s">
        <v>32</v>
      </c>
      <c r="C33" t="s">
        <v>35</v>
      </c>
      <c r="D33" s="2">
        <v>10000</v>
      </c>
      <c r="E33">
        <v>0</v>
      </c>
      <c r="F33" t="s">
        <v>19</v>
      </c>
      <c r="G33" t="s">
        <v>25</v>
      </c>
      <c r="H33" t="s">
        <v>18</v>
      </c>
      <c r="I33">
        <v>1</v>
      </c>
      <c r="J33" t="s">
        <v>16</v>
      </c>
      <c r="K33" t="s">
        <v>24</v>
      </c>
      <c r="L33">
        <v>26</v>
      </c>
      <c r="M33" t="str">
        <f t="shared" si="0"/>
        <v>Adolescent</v>
      </c>
      <c r="N33" t="s">
        <v>15</v>
      </c>
    </row>
    <row r="34" spans="1:14">
      <c r="A34">
        <v>20942</v>
      </c>
      <c r="B34" t="s">
        <v>33</v>
      </c>
      <c r="C34" t="s">
        <v>34</v>
      </c>
      <c r="D34" s="2">
        <v>20000</v>
      </c>
      <c r="E34">
        <v>0</v>
      </c>
      <c r="F34" t="s">
        <v>27</v>
      </c>
      <c r="G34" t="s">
        <v>25</v>
      </c>
      <c r="H34" t="s">
        <v>18</v>
      </c>
      <c r="I34">
        <v>1</v>
      </c>
      <c r="J34" t="s">
        <v>23</v>
      </c>
      <c r="K34" t="s">
        <v>17</v>
      </c>
      <c r="L34">
        <v>31</v>
      </c>
      <c r="M34" t="str">
        <f t="shared" si="0"/>
        <v>Middle Age</v>
      </c>
      <c r="N34" t="s">
        <v>18</v>
      </c>
    </row>
    <row r="35" spans="1:14">
      <c r="A35">
        <v>18484</v>
      </c>
      <c r="B35" t="s">
        <v>33</v>
      </c>
      <c r="C35" t="s">
        <v>35</v>
      </c>
      <c r="D35" s="2">
        <v>80000</v>
      </c>
      <c r="E35">
        <v>2</v>
      </c>
      <c r="F35" t="s">
        <v>27</v>
      </c>
      <c r="G35" t="s">
        <v>14</v>
      </c>
      <c r="H35" t="s">
        <v>18</v>
      </c>
      <c r="I35">
        <v>2</v>
      </c>
      <c r="J35" t="s">
        <v>26</v>
      </c>
      <c r="K35" t="s">
        <v>24</v>
      </c>
      <c r="L35">
        <v>50</v>
      </c>
      <c r="M35" t="str">
        <f t="shared" si="0"/>
        <v>Middle Age</v>
      </c>
      <c r="N35" t="s">
        <v>15</v>
      </c>
    </row>
    <row r="36" spans="1:14">
      <c r="A36">
        <v>12291</v>
      </c>
      <c r="B36" t="s">
        <v>33</v>
      </c>
      <c r="C36" t="s">
        <v>35</v>
      </c>
      <c r="D36" s="2">
        <v>90000</v>
      </c>
      <c r="E36">
        <v>5</v>
      </c>
      <c r="F36" t="s">
        <v>19</v>
      </c>
      <c r="G36" t="s">
        <v>21</v>
      </c>
      <c r="H36" t="s">
        <v>18</v>
      </c>
      <c r="I36">
        <v>2</v>
      </c>
      <c r="J36" t="s">
        <v>22</v>
      </c>
      <c r="K36" t="s">
        <v>17</v>
      </c>
      <c r="L36">
        <v>62</v>
      </c>
      <c r="M36" t="str">
        <f t="shared" si="0"/>
        <v>Old</v>
      </c>
      <c r="N36" t="s">
        <v>15</v>
      </c>
    </row>
    <row r="37" spans="1:14">
      <c r="A37">
        <v>28380</v>
      </c>
      <c r="B37" t="s">
        <v>33</v>
      </c>
      <c r="C37" t="s">
        <v>34</v>
      </c>
      <c r="D37" s="2">
        <v>10000</v>
      </c>
      <c r="E37">
        <v>5</v>
      </c>
      <c r="F37" t="s">
        <v>29</v>
      </c>
      <c r="G37" t="s">
        <v>25</v>
      </c>
      <c r="H37" t="s">
        <v>18</v>
      </c>
      <c r="I37">
        <v>2</v>
      </c>
      <c r="J37" t="s">
        <v>16</v>
      </c>
      <c r="K37" t="s">
        <v>17</v>
      </c>
      <c r="L37">
        <v>41</v>
      </c>
      <c r="M37" t="str">
        <f t="shared" si="0"/>
        <v>Middle Age</v>
      </c>
      <c r="N37" t="s">
        <v>18</v>
      </c>
    </row>
    <row r="38" spans="1:14">
      <c r="A38">
        <v>17891</v>
      </c>
      <c r="B38" t="s">
        <v>32</v>
      </c>
      <c r="C38" t="s">
        <v>34</v>
      </c>
      <c r="D38" s="2">
        <v>10000</v>
      </c>
      <c r="E38">
        <v>2</v>
      </c>
      <c r="F38" t="s">
        <v>19</v>
      </c>
      <c r="G38" t="s">
        <v>25</v>
      </c>
      <c r="H38" t="s">
        <v>15</v>
      </c>
      <c r="I38">
        <v>1</v>
      </c>
      <c r="J38" t="s">
        <v>16</v>
      </c>
      <c r="K38" t="s">
        <v>17</v>
      </c>
      <c r="L38">
        <v>50</v>
      </c>
      <c r="M38" t="str">
        <f t="shared" si="0"/>
        <v>Middle Age</v>
      </c>
      <c r="N38" t="s">
        <v>15</v>
      </c>
    </row>
    <row r="39" spans="1:14">
      <c r="A39">
        <v>27832</v>
      </c>
      <c r="B39" t="s">
        <v>33</v>
      </c>
      <c r="C39" t="s">
        <v>34</v>
      </c>
      <c r="D39" s="2">
        <v>30000</v>
      </c>
      <c r="E39">
        <v>0</v>
      </c>
      <c r="F39" t="s">
        <v>19</v>
      </c>
      <c r="G39" t="s">
        <v>20</v>
      </c>
      <c r="H39" t="s">
        <v>18</v>
      </c>
      <c r="I39">
        <v>1</v>
      </c>
      <c r="J39" t="s">
        <v>22</v>
      </c>
      <c r="K39" t="s">
        <v>17</v>
      </c>
      <c r="L39">
        <v>30</v>
      </c>
      <c r="M39" t="str">
        <f t="shared" si="0"/>
        <v>Adolescent</v>
      </c>
      <c r="N39" t="s">
        <v>18</v>
      </c>
    </row>
    <row r="40" spans="1:14">
      <c r="A40">
        <v>26863</v>
      </c>
      <c r="B40" t="s">
        <v>33</v>
      </c>
      <c r="C40" t="s">
        <v>35</v>
      </c>
      <c r="D40" s="2">
        <v>20000</v>
      </c>
      <c r="E40">
        <v>0</v>
      </c>
      <c r="F40" t="s">
        <v>27</v>
      </c>
      <c r="G40" t="s">
        <v>25</v>
      </c>
      <c r="H40" t="s">
        <v>18</v>
      </c>
      <c r="I40">
        <v>1</v>
      </c>
      <c r="J40" t="s">
        <v>22</v>
      </c>
      <c r="K40" t="s">
        <v>17</v>
      </c>
      <c r="L40">
        <v>28</v>
      </c>
      <c r="M40" t="str">
        <f t="shared" si="0"/>
        <v>Adolescent</v>
      </c>
      <c r="N40" t="s">
        <v>18</v>
      </c>
    </row>
    <row r="41" spans="1:14">
      <c r="A41">
        <v>16259</v>
      </c>
      <c r="B41" t="s">
        <v>33</v>
      </c>
      <c r="C41" t="s">
        <v>34</v>
      </c>
      <c r="D41" s="2">
        <v>10000</v>
      </c>
      <c r="E41">
        <v>4</v>
      </c>
      <c r="F41" t="s">
        <v>29</v>
      </c>
      <c r="G41" t="s">
        <v>25</v>
      </c>
      <c r="H41" t="s">
        <v>15</v>
      </c>
      <c r="I41">
        <v>2</v>
      </c>
      <c r="J41" t="s">
        <v>16</v>
      </c>
      <c r="K41" t="s">
        <v>17</v>
      </c>
      <c r="L41">
        <v>40</v>
      </c>
      <c r="M41" t="str">
        <f t="shared" si="0"/>
        <v>Middle Age</v>
      </c>
      <c r="N41" t="s">
        <v>15</v>
      </c>
    </row>
    <row r="42" spans="1:14">
      <c r="A42">
        <v>27803</v>
      </c>
      <c r="B42" t="s">
        <v>33</v>
      </c>
      <c r="C42" t="s">
        <v>34</v>
      </c>
      <c r="D42" s="2">
        <v>30000</v>
      </c>
      <c r="E42">
        <v>2</v>
      </c>
      <c r="F42" t="s">
        <v>19</v>
      </c>
      <c r="G42" t="s">
        <v>20</v>
      </c>
      <c r="H42" t="s">
        <v>18</v>
      </c>
      <c r="I42">
        <v>0</v>
      </c>
      <c r="J42" t="s">
        <v>16</v>
      </c>
      <c r="K42" t="s">
        <v>17</v>
      </c>
      <c r="L42">
        <v>43</v>
      </c>
      <c r="M42" t="str">
        <f t="shared" si="0"/>
        <v>Middle Age</v>
      </c>
      <c r="N42" t="s">
        <v>18</v>
      </c>
    </row>
    <row r="43" spans="1:14">
      <c r="A43">
        <v>14347</v>
      </c>
      <c r="B43" t="s">
        <v>33</v>
      </c>
      <c r="C43" t="s">
        <v>34</v>
      </c>
      <c r="D43" s="2">
        <v>40000</v>
      </c>
      <c r="E43">
        <v>2</v>
      </c>
      <c r="F43" t="s">
        <v>13</v>
      </c>
      <c r="G43" t="s">
        <v>28</v>
      </c>
      <c r="H43" t="s">
        <v>15</v>
      </c>
      <c r="I43">
        <v>2</v>
      </c>
      <c r="J43" t="s">
        <v>23</v>
      </c>
      <c r="K43" t="s">
        <v>24</v>
      </c>
      <c r="L43">
        <v>65</v>
      </c>
      <c r="M43" t="str">
        <f t="shared" si="0"/>
        <v>Old</v>
      </c>
      <c r="N43" t="s">
        <v>15</v>
      </c>
    </row>
    <row r="44" spans="1:14">
      <c r="A44">
        <v>17703</v>
      </c>
      <c r="B44" t="s">
        <v>32</v>
      </c>
      <c r="C44" t="s">
        <v>34</v>
      </c>
      <c r="D44" s="2">
        <v>10000</v>
      </c>
      <c r="E44">
        <v>1</v>
      </c>
      <c r="F44" t="s">
        <v>30</v>
      </c>
      <c r="G44" t="s">
        <v>25</v>
      </c>
      <c r="H44" t="s">
        <v>15</v>
      </c>
      <c r="I44">
        <v>0</v>
      </c>
      <c r="J44" t="s">
        <v>16</v>
      </c>
      <c r="K44" t="s">
        <v>17</v>
      </c>
      <c r="L44">
        <v>40</v>
      </c>
      <c r="M44" t="str">
        <f t="shared" si="0"/>
        <v>Middle Age</v>
      </c>
      <c r="N44" t="s">
        <v>18</v>
      </c>
    </row>
    <row r="45" spans="1:14">
      <c r="A45">
        <v>17185</v>
      </c>
      <c r="B45" t="s">
        <v>32</v>
      </c>
      <c r="C45" t="s">
        <v>34</v>
      </c>
      <c r="D45" s="2">
        <v>170000</v>
      </c>
      <c r="E45">
        <v>4</v>
      </c>
      <c r="F45" t="s">
        <v>19</v>
      </c>
      <c r="G45" t="s">
        <v>21</v>
      </c>
      <c r="H45" t="s">
        <v>18</v>
      </c>
      <c r="I45">
        <v>3</v>
      </c>
      <c r="J45" t="s">
        <v>23</v>
      </c>
      <c r="K45" t="s">
        <v>17</v>
      </c>
      <c r="L45">
        <v>48</v>
      </c>
      <c r="M45" t="str">
        <f t="shared" si="0"/>
        <v>Middle Age</v>
      </c>
      <c r="N45" t="s">
        <v>15</v>
      </c>
    </row>
    <row r="46" spans="1:14">
      <c r="A46">
        <v>29380</v>
      </c>
      <c r="B46" t="s">
        <v>32</v>
      </c>
      <c r="C46" t="s">
        <v>34</v>
      </c>
      <c r="D46" s="2">
        <v>20000</v>
      </c>
      <c r="E46">
        <v>3</v>
      </c>
      <c r="F46" t="s">
        <v>27</v>
      </c>
      <c r="G46" t="s">
        <v>25</v>
      </c>
      <c r="H46" t="s">
        <v>15</v>
      </c>
      <c r="I46">
        <v>0</v>
      </c>
      <c r="J46" t="s">
        <v>16</v>
      </c>
      <c r="K46" t="s">
        <v>17</v>
      </c>
      <c r="L46">
        <v>41</v>
      </c>
      <c r="M46" t="str">
        <f t="shared" si="0"/>
        <v>Middle Age</v>
      </c>
      <c r="N46" t="s">
        <v>15</v>
      </c>
    </row>
    <row r="47" spans="1:14">
      <c r="A47">
        <v>23986</v>
      </c>
      <c r="B47" t="s">
        <v>32</v>
      </c>
      <c r="C47" t="s">
        <v>34</v>
      </c>
      <c r="D47" s="2">
        <v>20000</v>
      </c>
      <c r="E47">
        <v>1</v>
      </c>
      <c r="F47" t="s">
        <v>13</v>
      </c>
      <c r="G47" t="s">
        <v>20</v>
      </c>
      <c r="H47" t="s">
        <v>15</v>
      </c>
      <c r="I47">
        <v>0</v>
      </c>
      <c r="J47" t="s">
        <v>16</v>
      </c>
      <c r="K47" t="s">
        <v>17</v>
      </c>
      <c r="L47">
        <v>66</v>
      </c>
      <c r="M47" t="str">
        <f t="shared" si="0"/>
        <v>Old</v>
      </c>
      <c r="N47" t="s">
        <v>15</v>
      </c>
    </row>
    <row r="48" spans="1:14">
      <c r="A48">
        <v>24466</v>
      </c>
      <c r="B48" t="s">
        <v>32</v>
      </c>
      <c r="C48" t="s">
        <v>34</v>
      </c>
      <c r="D48" s="2">
        <v>60000</v>
      </c>
      <c r="E48">
        <v>1</v>
      </c>
      <c r="F48" t="s">
        <v>19</v>
      </c>
      <c r="G48" t="s">
        <v>14</v>
      </c>
      <c r="H48" t="s">
        <v>15</v>
      </c>
      <c r="I48">
        <v>1</v>
      </c>
      <c r="J48" t="s">
        <v>23</v>
      </c>
      <c r="K48" t="s">
        <v>24</v>
      </c>
      <c r="L48">
        <v>46</v>
      </c>
      <c r="M48" t="str">
        <f t="shared" si="0"/>
        <v>Middle Age</v>
      </c>
      <c r="N48" t="s">
        <v>15</v>
      </c>
    </row>
    <row r="49" spans="1:14">
      <c r="A49">
        <v>29097</v>
      </c>
      <c r="B49" t="s">
        <v>33</v>
      </c>
      <c r="C49" t="s">
        <v>34</v>
      </c>
      <c r="D49" s="2">
        <v>40000</v>
      </c>
      <c r="E49">
        <v>2</v>
      </c>
      <c r="F49" t="s">
        <v>19</v>
      </c>
      <c r="G49" t="s">
        <v>14</v>
      </c>
      <c r="H49" t="s">
        <v>15</v>
      </c>
      <c r="I49">
        <v>2</v>
      </c>
      <c r="J49" t="s">
        <v>23</v>
      </c>
      <c r="K49" t="s">
        <v>24</v>
      </c>
      <c r="L49">
        <v>52</v>
      </c>
      <c r="M49" t="str">
        <f t="shared" si="0"/>
        <v>Middle Age</v>
      </c>
      <c r="N49" t="s">
        <v>15</v>
      </c>
    </row>
    <row r="50" spans="1:14">
      <c r="A50">
        <v>19487</v>
      </c>
      <c r="B50" t="s">
        <v>32</v>
      </c>
      <c r="C50" t="s">
        <v>35</v>
      </c>
      <c r="D50" s="2">
        <v>30000</v>
      </c>
      <c r="E50">
        <v>2</v>
      </c>
      <c r="F50" t="s">
        <v>19</v>
      </c>
      <c r="G50" t="s">
        <v>20</v>
      </c>
      <c r="H50" t="s">
        <v>18</v>
      </c>
      <c r="I50">
        <v>2</v>
      </c>
      <c r="J50" t="s">
        <v>16</v>
      </c>
      <c r="K50" t="s">
        <v>17</v>
      </c>
      <c r="L50">
        <v>42</v>
      </c>
      <c r="M50" t="str">
        <f t="shared" si="0"/>
        <v>Middle Age</v>
      </c>
      <c r="N50" t="s">
        <v>18</v>
      </c>
    </row>
    <row r="51" spans="1:14">
      <c r="A51">
        <v>14939</v>
      </c>
      <c r="B51" t="s">
        <v>33</v>
      </c>
      <c r="C51" t="s">
        <v>35</v>
      </c>
      <c r="D51" s="2">
        <v>40000</v>
      </c>
      <c r="E51">
        <v>0</v>
      </c>
      <c r="F51" t="s">
        <v>13</v>
      </c>
      <c r="G51" t="s">
        <v>20</v>
      </c>
      <c r="H51" t="s">
        <v>15</v>
      </c>
      <c r="I51">
        <v>0</v>
      </c>
      <c r="J51" t="s">
        <v>16</v>
      </c>
      <c r="K51" t="s">
        <v>17</v>
      </c>
      <c r="L51">
        <v>39</v>
      </c>
      <c r="M51" t="str">
        <f t="shared" si="0"/>
        <v>Middle Age</v>
      </c>
      <c r="N51" t="s">
        <v>15</v>
      </c>
    </row>
    <row r="52" spans="1:14">
      <c r="A52">
        <v>13826</v>
      </c>
      <c r="B52" t="s">
        <v>33</v>
      </c>
      <c r="C52" t="s">
        <v>34</v>
      </c>
      <c r="D52" s="2">
        <v>30000</v>
      </c>
      <c r="E52">
        <v>0</v>
      </c>
      <c r="F52" t="s">
        <v>19</v>
      </c>
      <c r="G52" t="s">
        <v>20</v>
      </c>
      <c r="H52" t="s">
        <v>18</v>
      </c>
      <c r="I52">
        <v>1</v>
      </c>
      <c r="J52" t="s">
        <v>16</v>
      </c>
      <c r="K52" t="s">
        <v>17</v>
      </c>
      <c r="L52">
        <v>28</v>
      </c>
      <c r="M52" t="str">
        <f t="shared" si="0"/>
        <v>Adolescent</v>
      </c>
      <c r="N52" t="s">
        <v>18</v>
      </c>
    </row>
    <row r="53" spans="1:14">
      <c r="A53">
        <v>20619</v>
      </c>
      <c r="B53" t="s">
        <v>33</v>
      </c>
      <c r="C53" t="s">
        <v>35</v>
      </c>
      <c r="D53" s="2">
        <v>80000</v>
      </c>
      <c r="E53">
        <v>0</v>
      </c>
      <c r="F53" t="s">
        <v>13</v>
      </c>
      <c r="G53" t="s">
        <v>21</v>
      </c>
      <c r="H53" t="s">
        <v>18</v>
      </c>
      <c r="I53">
        <v>4</v>
      </c>
      <c r="J53" t="s">
        <v>43</v>
      </c>
      <c r="K53" t="s">
        <v>24</v>
      </c>
      <c r="L53">
        <v>35</v>
      </c>
      <c r="M53" t="str">
        <f t="shared" si="0"/>
        <v>Middle Age</v>
      </c>
      <c r="N53" t="s">
        <v>18</v>
      </c>
    </row>
    <row r="54" spans="1:14">
      <c r="A54">
        <v>12558</v>
      </c>
      <c r="B54" t="s">
        <v>32</v>
      </c>
      <c r="C54" t="s">
        <v>34</v>
      </c>
      <c r="D54" s="2">
        <v>20000</v>
      </c>
      <c r="E54">
        <v>1</v>
      </c>
      <c r="F54" t="s">
        <v>13</v>
      </c>
      <c r="G54" t="s">
        <v>20</v>
      </c>
      <c r="H54" t="s">
        <v>15</v>
      </c>
      <c r="I54">
        <v>0</v>
      </c>
      <c r="J54" t="s">
        <v>16</v>
      </c>
      <c r="K54" t="s">
        <v>17</v>
      </c>
      <c r="L54">
        <v>65</v>
      </c>
      <c r="M54" t="str">
        <f t="shared" si="0"/>
        <v>Old</v>
      </c>
      <c r="N54" t="s">
        <v>18</v>
      </c>
    </row>
    <row r="55" spans="1:14">
      <c r="A55">
        <v>24871</v>
      </c>
      <c r="B55" t="s">
        <v>33</v>
      </c>
      <c r="C55" t="s">
        <v>34</v>
      </c>
      <c r="D55" s="2">
        <v>90000</v>
      </c>
      <c r="E55">
        <v>4</v>
      </c>
      <c r="F55" t="s">
        <v>27</v>
      </c>
      <c r="G55" t="s">
        <v>28</v>
      </c>
      <c r="H55" t="s">
        <v>18</v>
      </c>
      <c r="I55">
        <v>3</v>
      </c>
      <c r="J55" t="s">
        <v>23</v>
      </c>
      <c r="K55" t="s">
        <v>17</v>
      </c>
      <c r="L55">
        <v>56</v>
      </c>
      <c r="M55" t="str">
        <f t="shared" si="0"/>
        <v>Old</v>
      </c>
      <c r="N55" t="s">
        <v>18</v>
      </c>
    </row>
    <row r="56" spans="1:14">
      <c r="A56">
        <v>17319</v>
      </c>
      <c r="B56" t="s">
        <v>33</v>
      </c>
      <c r="C56" t="s">
        <v>34</v>
      </c>
      <c r="D56" s="2">
        <v>70000</v>
      </c>
      <c r="E56">
        <v>0</v>
      </c>
      <c r="F56" t="s">
        <v>13</v>
      </c>
      <c r="G56" t="s">
        <v>21</v>
      </c>
      <c r="H56" t="s">
        <v>18</v>
      </c>
      <c r="I56">
        <v>1</v>
      </c>
      <c r="J56" t="s">
        <v>23</v>
      </c>
      <c r="K56" t="s">
        <v>24</v>
      </c>
      <c r="L56">
        <v>42</v>
      </c>
      <c r="M56" t="str">
        <f t="shared" si="0"/>
        <v>Middle Age</v>
      </c>
      <c r="N56" t="s">
        <v>18</v>
      </c>
    </row>
    <row r="57" spans="1:14">
      <c r="A57">
        <v>28906</v>
      </c>
      <c r="B57" t="s">
        <v>32</v>
      </c>
      <c r="C57" t="s">
        <v>35</v>
      </c>
      <c r="D57" s="2">
        <v>80000</v>
      </c>
      <c r="E57">
        <v>4</v>
      </c>
      <c r="F57" t="s">
        <v>27</v>
      </c>
      <c r="G57" t="s">
        <v>21</v>
      </c>
      <c r="H57" t="s">
        <v>15</v>
      </c>
      <c r="I57">
        <v>2</v>
      </c>
      <c r="J57" t="s">
        <v>43</v>
      </c>
      <c r="K57" t="s">
        <v>17</v>
      </c>
      <c r="L57">
        <v>54</v>
      </c>
      <c r="M57" t="str">
        <f t="shared" si="0"/>
        <v>Middle Age</v>
      </c>
      <c r="N57" t="s">
        <v>18</v>
      </c>
    </row>
    <row r="58" spans="1:14">
      <c r="A58">
        <v>12808</v>
      </c>
      <c r="B58" t="s">
        <v>32</v>
      </c>
      <c r="C58" t="s">
        <v>35</v>
      </c>
      <c r="D58" s="2">
        <v>40000</v>
      </c>
      <c r="E58">
        <v>0</v>
      </c>
      <c r="F58" t="s">
        <v>13</v>
      </c>
      <c r="G58" t="s">
        <v>20</v>
      </c>
      <c r="H58" t="s">
        <v>15</v>
      </c>
      <c r="I58">
        <v>0</v>
      </c>
      <c r="J58" t="s">
        <v>16</v>
      </c>
      <c r="K58" t="s">
        <v>17</v>
      </c>
      <c r="L58">
        <v>38</v>
      </c>
      <c r="M58" t="str">
        <f t="shared" si="0"/>
        <v>Middle Age</v>
      </c>
      <c r="N58" t="s">
        <v>15</v>
      </c>
    </row>
    <row r="59" spans="1:14">
      <c r="A59">
        <v>20567</v>
      </c>
      <c r="B59" t="s">
        <v>32</v>
      </c>
      <c r="C59" t="s">
        <v>35</v>
      </c>
      <c r="D59" s="2">
        <v>130000</v>
      </c>
      <c r="E59">
        <v>4</v>
      </c>
      <c r="F59" t="s">
        <v>19</v>
      </c>
      <c r="G59" t="s">
        <v>21</v>
      </c>
      <c r="H59" t="s">
        <v>18</v>
      </c>
      <c r="I59">
        <v>4</v>
      </c>
      <c r="J59" t="s">
        <v>23</v>
      </c>
      <c r="K59" t="s">
        <v>17</v>
      </c>
      <c r="L59">
        <v>61</v>
      </c>
      <c r="M59" t="str">
        <f t="shared" si="0"/>
        <v>Old</v>
      </c>
      <c r="N59" t="s">
        <v>15</v>
      </c>
    </row>
    <row r="60" spans="1:14">
      <c r="A60">
        <v>25502</v>
      </c>
      <c r="B60" t="s">
        <v>32</v>
      </c>
      <c r="C60" t="s">
        <v>34</v>
      </c>
      <c r="D60" s="2">
        <v>40000</v>
      </c>
      <c r="E60">
        <v>1</v>
      </c>
      <c r="F60" t="s">
        <v>13</v>
      </c>
      <c r="G60" t="s">
        <v>14</v>
      </c>
      <c r="H60" t="s">
        <v>15</v>
      </c>
      <c r="I60">
        <v>0</v>
      </c>
      <c r="J60" t="s">
        <v>16</v>
      </c>
      <c r="K60" t="s">
        <v>17</v>
      </c>
      <c r="L60">
        <v>43</v>
      </c>
      <c r="M60" t="str">
        <f t="shared" si="0"/>
        <v>Middle Age</v>
      </c>
      <c r="N60" t="s">
        <v>15</v>
      </c>
    </row>
    <row r="61" spans="1:14">
      <c r="A61">
        <v>15580</v>
      </c>
      <c r="B61" t="s">
        <v>32</v>
      </c>
      <c r="C61" t="s">
        <v>35</v>
      </c>
      <c r="D61" s="2">
        <v>60000</v>
      </c>
      <c r="E61">
        <v>2</v>
      </c>
      <c r="F61" t="s">
        <v>13</v>
      </c>
      <c r="G61" t="s">
        <v>21</v>
      </c>
      <c r="H61" t="s">
        <v>15</v>
      </c>
      <c r="I61">
        <v>1</v>
      </c>
      <c r="J61" t="s">
        <v>22</v>
      </c>
      <c r="K61" t="s">
        <v>24</v>
      </c>
      <c r="L61">
        <v>38</v>
      </c>
      <c r="M61" t="str">
        <f t="shared" si="0"/>
        <v>Middle Age</v>
      </c>
      <c r="N61" t="s">
        <v>15</v>
      </c>
    </row>
    <row r="62" spans="1:14">
      <c r="A62">
        <v>24185</v>
      </c>
      <c r="B62" t="s">
        <v>33</v>
      </c>
      <c r="C62" t="s">
        <v>34</v>
      </c>
      <c r="D62" s="2">
        <v>10000</v>
      </c>
      <c r="E62">
        <v>1</v>
      </c>
      <c r="F62" t="s">
        <v>27</v>
      </c>
      <c r="G62" t="s">
        <v>25</v>
      </c>
      <c r="H62" t="s">
        <v>18</v>
      </c>
      <c r="I62">
        <v>1</v>
      </c>
      <c r="J62" t="s">
        <v>26</v>
      </c>
      <c r="K62" t="s">
        <v>17</v>
      </c>
      <c r="L62">
        <v>45</v>
      </c>
      <c r="M62" t="str">
        <f t="shared" si="0"/>
        <v>Middle Age</v>
      </c>
      <c r="N62" t="s">
        <v>18</v>
      </c>
    </row>
    <row r="63" spans="1:14">
      <c r="A63">
        <v>19291</v>
      </c>
      <c r="B63" t="s">
        <v>33</v>
      </c>
      <c r="C63" t="s">
        <v>34</v>
      </c>
      <c r="D63" s="2">
        <v>10000</v>
      </c>
      <c r="E63">
        <v>2</v>
      </c>
      <c r="F63" t="s">
        <v>27</v>
      </c>
      <c r="G63" t="s">
        <v>25</v>
      </c>
      <c r="H63" t="s">
        <v>15</v>
      </c>
      <c r="I63">
        <v>0</v>
      </c>
      <c r="J63" t="s">
        <v>16</v>
      </c>
      <c r="K63" t="s">
        <v>17</v>
      </c>
      <c r="L63">
        <v>35</v>
      </c>
      <c r="M63" t="str">
        <f t="shared" si="0"/>
        <v>Middle Age</v>
      </c>
      <c r="N63" t="s">
        <v>18</v>
      </c>
    </row>
    <row r="64" spans="1:14">
      <c r="A64">
        <v>16713</v>
      </c>
      <c r="B64" t="s">
        <v>32</v>
      </c>
      <c r="C64" t="s">
        <v>35</v>
      </c>
      <c r="D64" s="2">
        <v>40000</v>
      </c>
      <c r="E64">
        <v>2</v>
      </c>
      <c r="F64" t="s">
        <v>13</v>
      </c>
      <c r="G64" t="s">
        <v>28</v>
      </c>
      <c r="H64" t="s">
        <v>15</v>
      </c>
      <c r="I64">
        <v>1</v>
      </c>
      <c r="J64" t="s">
        <v>16</v>
      </c>
      <c r="K64" t="s">
        <v>24</v>
      </c>
      <c r="L64">
        <v>52</v>
      </c>
      <c r="M64" t="str">
        <f t="shared" si="0"/>
        <v>Middle Age</v>
      </c>
      <c r="N64" t="s">
        <v>15</v>
      </c>
    </row>
    <row r="65" spans="1:14">
      <c r="A65">
        <v>16185</v>
      </c>
      <c r="B65" t="s">
        <v>33</v>
      </c>
      <c r="C65" t="s">
        <v>35</v>
      </c>
      <c r="D65" s="2">
        <v>60000</v>
      </c>
      <c r="E65">
        <v>4</v>
      </c>
      <c r="F65" t="s">
        <v>13</v>
      </c>
      <c r="G65" t="s">
        <v>21</v>
      </c>
      <c r="H65" t="s">
        <v>15</v>
      </c>
      <c r="I65">
        <v>3</v>
      </c>
      <c r="J65" t="s">
        <v>43</v>
      </c>
      <c r="K65" t="s">
        <v>24</v>
      </c>
      <c r="L65">
        <v>41</v>
      </c>
      <c r="M65" t="str">
        <f t="shared" si="0"/>
        <v>Middle Age</v>
      </c>
      <c r="N65" t="s">
        <v>18</v>
      </c>
    </row>
    <row r="66" spans="1:14">
      <c r="A66">
        <v>14927</v>
      </c>
      <c r="B66" t="s">
        <v>32</v>
      </c>
      <c r="C66" t="s">
        <v>34</v>
      </c>
      <c r="D66" s="2">
        <v>30000</v>
      </c>
      <c r="E66">
        <v>1</v>
      </c>
      <c r="F66" t="s">
        <v>13</v>
      </c>
      <c r="G66" t="s">
        <v>20</v>
      </c>
      <c r="H66" t="s">
        <v>15</v>
      </c>
      <c r="I66">
        <v>0</v>
      </c>
      <c r="J66" t="s">
        <v>16</v>
      </c>
      <c r="K66" t="s">
        <v>17</v>
      </c>
      <c r="L66">
        <v>37</v>
      </c>
      <c r="M66" t="str">
        <f t="shared" si="0"/>
        <v>Middle Age</v>
      </c>
      <c r="N66" t="s">
        <v>15</v>
      </c>
    </row>
    <row r="67" spans="1:14">
      <c r="A67">
        <v>29337</v>
      </c>
      <c r="B67" t="s">
        <v>33</v>
      </c>
      <c r="C67" t="s">
        <v>35</v>
      </c>
      <c r="D67" s="2">
        <v>30000</v>
      </c>
      <c r="E67">
        <v>2</v>
      </c>
      <c r="F67" t="s">
        <v>19</v>
      </c>
      <c r="G67" t="s">
        <v>20</v>
      </c>
      <c r="H67" t="s">
        <v>15</v>
      </c>
      <c r="I67">
        <v>2</v>
      </c>
      <c r="J67" t="s">
        <v>23</v>
      </c>
      <c r="K67" t="s">
        <v>24</v>
      </c>
      <c r="L67">
        <v>68</v>
      </c>
      <c r="M67" t="str">
        <f t="shared" ref="M67:M130" si="1">IF(L67&gt;54, "Old", IF(L67&gt;=31,"Middle Age", IF(L67&lt;31,"Adolescent","Invalid")))</f>
        <v>Old</v>
      </c>
      <c r="N67" t="s">
        <v>18</v>
      </c>
    </row>
    <row r="68" spans="1:14">
      <c r="A68">
        <v>29355</v>
      </c>
      <c r="B68" t="s">
        <v>32</v>
      </c>
      <c r="C68" t="s">
        <v>34</v>
      </c>
      <c r="D68" s="2">
        <v>40000</v>
      </c>
      <c r="E68">
        <v>0</v>
      </c>
      <c r="F68" t="s">
        <v>30</v>
      </c>
      <c r="G68" t="s">
        <v>20</v>
      </c>
      <c r="H68" t="s">
        <v>15</v>
      </c>
      <c r="I68">
        <v>0</v>
      </c>
      <c r="J68" t="s">
        <v>16</v>
      </c>
      <c r="K68" t="s">
        <v>17</v>
      </c>
      <c r="L68">
        <v>37</v>
      </c>
      <c r="M68" t="str">
        <f t="shared" si="1"/>
        <v>Middle Age</v>
      </c>
      <c r="N68" t="s">
        <v>15</v>
      </c>
    </row>
    <row r="69" spans="1:14">
      <c r="A69">
        <v>25303</v>
      </c>
      <c r="B69" t="s">
        <v>33</v>
      </c>
      <c r="C69" t="s">
        <v>35</v>
      </c>
      <c r="D69" s="2">
        <v>30000</v>
      </c>
      <c r="E69">
        <v>0</v>
      </c>
      <c r="F69" t="s">
        <v>27</v>
      </c>
      <c r="G69" t="s">
        <v>25</v>
      </c>
      <c r="H69" t="s">
        <v>15</v>
      </c>
      <c r="I69">
        <v>1</v>
      </c>
      <c r="J69" t="s">
        <v>22</v>
      </c>
      <c r="K69" t="s">
        <v>17</v>
      </c>
      <c r="L69">
        <v>33</v>
      </c>
      <c r="M69" t="str">
        <f t="shared" si="1"/>
        <v>Middle Age</v>
      </c>
      <c r="N69" t="s">
        <v>15</v>
      </c>
    </row>
    <row r="70" spans="1:14">
      <c r="A70">
        <v>14813</v>
      </c>
      <c r="B70" t="s">
        <v>33</v>
      </c>
      <c r="C70" t="s">
        <v>34</v>
      </c>
      <c r="D70" s="2">
        <v>20000</v>
      </c>
      <c r="E70">
        <v>4</v>
      </c>
      <c r="F70" t="s">
        <v>27</v>
      </c>
      <c r="G70" t="s">
        <v>25</v>
      </c>
      <c r="H70" t="s">
        <v>15</v>
      </c>
      <c r="I70">
        <v>1</v>
      </c>
      <c r="J70" t="s">
        <v>16</v>
      </c>
      <c r="K70" t="s">
        <v>17</v>
      </c>
      <c r="L70">
        <v>43</v>
      </c>
      <c r="M70" t="str">
        <f t="shared" si="1"/>
        <v>Middle Age</v>
      </c>
      <c r="N70" t="s">
        <v>15</v>
      </c>
    </row>
    <row r="71" spans="1:14">
      <c r="A71">
        <v>16438</v>
      </c>
      <c r="B71" t="s">
        <v>32</v>
      </c>
      <c r="C71" t="s">
        <v>34</v>
      </c>
      <c r="D71" s="2">
        <v>10000</v>
      </c>
      <c r="E71">
        <v>0</v>
      </c>
      <c r="F71" t="s">
        <v>29</v>
      </c>
      <c r="G71" t="s">
        <v>25</v>
      </c>
      <c r="H71" t="s">
        <v>18</v>
      </c>
      <c r="I71">
        <v>2</v>
      </c>
      <c r="J71" t="s">
        <v>16</v>
      </c>
      <c r="K71" t="s">
        <v>17</v>
      </c>
      <c r="L71">
        <v>30</v>
      </c>
      <c r="M71" t="str">
        <f t="shared" si="1"/>
        <v>Adolescent</v>
      </c>
      <c r="N71" t="s">
        <v>18</v>
      </c>
    </row>
    <row r="72" spans="1:14">
      <c r="A72">
        <v>14238</v>
      </c>
      <c r="B72" t="s">
        <v>32</v>
      </c>
      <c r="C72" t="s">
        <v>35</v>
      </c>
      <c r="D72" s="2">
        <v>120000</v>
      </c>
      <c r="E72">
        <v>0</v>
      </c>
      <c r="F72" t="s">
        <v>29</v>
      </c>
      <c r="G72" t="s">
        <v>21</v>
      </c>
      <c r="H72" t="s">
        <v>15</v>
      </c>
      <c r="I72">
        <v>4</v>
      </c>
      <c r="J72" t="s">
        <v>43</v>
      </c>
      <c r="K72" t="s">
        <v>24</v>
      </c>
      <c r="L72">
        <v>36</v>
      </c>
      <c r="M72" t="str">
        <f t="shared" si="1"/>
        <v>Middle Age</v>
      </c>
      <c r="N72" t="s">
        <v>15</v>
      </c>
    </row>
    <row r="73" spans="1:14">
      <c r="A73">
        <v>16200</v>
      </c>
      <c r="B73" t="s">
        <v>33</v>
      </c>
      <c r="C73" t="s">
        <v>34</v>
      </c>
      <c r="D73" s="2">
        <v>10000</v>
      </c>
      <c r="E73">
        <v>0</v>
      </c>
      <c r="F73" t="s">
        <v>29</v>
      </c>
      <c r="G73" t="s">
        <v>25</v>
      </c>
      <c r="H73" t="s">
        <v>18</v>
      </c>
      <c r="I73">
        <v>2</v>
      </c>
      <c r="J73" t="s">
        <v>16</v>
      </c>
      <c r="K73" t="s">
        <v>17</v>
      </c>
      <c r="L73">
        <v>35</v>
      </c>
      <c r="M73" t="str">
        <f t="shared" si="1"/>
        <v>Middle Age</v>
      </c>
      <c r="N73" t="s">
        <v>18</v>
      </c>
    </row>
    <row r="74" spans="1:14">
      <c r="A74">
        <v>24857</v>
      </c>
      <c r="B74" t="s">
        <v>32</v>
      </c>
      <c r="C74" t="s">
        <v>34</v>
      </c>
      <c r="D74" s="2">
        <v>130000</v>
      </c>
      <c r="E74">
        <v>3</v>
      </c>
      <c r="F74" t="s">
        <v>27</v>
      </c>
      <c r="G74" t="s">
        <v>21</v>
      </c>
      <c r="H74" t="s">
        <v>15</v>
      </c>
      <c r="I74">
        <v>4</v>
      </c>
      <c r="J74" t="s">
        <v>16</v>
      </c>
      <c r="K74" t="s">
        <v>17</v>
      </c>
      <c r="L74">
        <v>52</v>
      </c>
      <c r="M74" t="str">
        <f t="shared" si="1"/>
        <v>Middle Age</v>
      </c>
      <c r="N74" t="s">
        <v>18</v>
      </c>
    </row>
    <row r="75" spans="1:14">
      <c r="A75">
        <v>26956</v>
      </c>
      <c r="B75" t="s">
        <v>33</v>
      </c>
      <c r="C75" t="s">
        <v>34</v>
      </c>
      <c r="D75" s="2">
        <v>20000</v>
      </c>
      <c r="E75">
        <v>0</v>
      </c>
      <c r="F75" t="s">
        <v>19</v>
      </c>
      <c r="G75" t="s">
        <v>25</v>
      </c>
      <c r="H75" t="s">
        <v>18</v>
      </c>
      <c r="I75">
        <v>1</v>
      </c>
      <c r="J75" t="s">
        <v>22</v>
      </c>
      <c r="K75" t="s">
        <v>17</v>
      </c>
      <c r="L75">
        <v>36</v>
      </c>
      <c r="M75" t="str">
        <f t="shared" si="1"/>
        <v>Middle Age</v>
      </c>
      <c r="N75" t="s">
        <v>15</v>
      </c>
    </row>
    <row r="76" spans="1:14">
      <c r="A76">
        <v>14517</v>
      </c>
      <c r="B76" t="s">
        <v>32</v>
      </c>
      <c r="C76" t="s">
        <v>34</v>
      </c>
      <c r="D76" s="2">
        <v>20000</v>
      </c>
      <c r="E76">
        <v>3</v>
      </c>
      <c r="F76" t="s">
        <v>27</v>
      </c>
      <c r="G76" t="s">
        <v>14</v>
      </c>
      <c r="H76" t="s">
        <v>18</v>
      </c>
      <c r="I76">
        <v>2</v>
      </c>
      <c r="J76" t="s">
        <v>26</v>
      </c>
      <c r="K76" t="s">
        <v>24</v>
      </c>
      <c r="L76">
        <v>62</v>
      </c>
      <c r="M76" t="str">
        <f t="shared" si="1"/>
        <v>Old</v>
      </c>
      <c r="N76" t="s">
        <v>18</v>
      </c>
    </row>
    <row r="77" spans="1:14">
      <c r="A77">
        <v>12678</v>
      </c>
      <c r="B77" t="s">
        <v>33</v>
      </c>
      <c r="C77" t="s">
        <v>34</v>
      </c>
      <c r="D77" s="2">
        <v>130000</v>
      </c>
      <c r="E77">
        <v>4</v>
      </c>
      <c r="F77" t="s">
        <v>27</v>
      </c>
      <c r="G77" t="s">
        <v>28</v>
      </c>
      <c r="H77" t="s">
        <v>15</v>
      </c>
      <c r="I77">
        <v>4</v>
      </c>
      <c r="J77" t="s">
        <v>16</v>
      </c>
      <c r="K77" t="s">
        <v>24</v>
      </c>
      <c r="L77">
        <v>31</v>
      </c>
      <c r="M77" t="str">
        <f t="shared" si="1"/>
        <v>Middle Age</v>
      </c>
      <c r="N77" t="s">
        <v>18</v>
      </c>
    </row>
    <row r="78" spans="1:14">
      <c r="A78">
        <v>16188</v>
      </c>
      <c r="B78" t="s">
        <v>33</v>
      </c>
      <c r="C78" t="s">
        <v>34</v>
      </c>
      <c r="D78" s="2">
        <v>20000</v>
      </c>
      <c r="E78">
        <v>0</v>
      </c>
      <c r="F78" t="s">
        <v>29</v>
      </c>
      <c r="G78" t="s">
        <v>25</v>
      </c>
      <c r="H78" t="s">
        <v>18</v>
      </c>
      <c r="I78">
        <v>2</v>
      </c>
      <c r="J78" t="s">
        <v>26</v>
      </c>
      <c r="K78" t="s">
        <v>17</v>
      </c>
      <c r="L78">
        <v>26</v>
      </c>
      <c r="M78" t="str">
        <f t="shared" si="1"/>
        <v>Adolescent</v>
      </c>
      <c r="N78" t="s">
        <v>18</v>
      </c>
    </row>
    <row r="79" spans="1:14">
      <c r="A79">
        <v>27969</v>
      </c>
      <c r="B79" t="s">
        <v>32</v>
      </c>
      <c r="C79" t="s">
        <v>35</v>
      </c>
      <c r="D79" s="2">
        <v>80000</v>
      </c>
      <c r="E79">
        <v>0</v>
      </c>
      <c r="F79" t="s">
        <v>13</v>
      </c>
      <c r="G79" t="s">
        <v>21</v>
      </c>
      <c r="H79" t="s">
        <v>15</v>
      </c>
      <c r="I79">
        <v>2</v>
      </c>
      <c r="J79" t="s">
        <v>43</v>
      </c>
      <c r="K79" t="s">
        <v>24</v>
      </c>
      <c r="L79">
        <v>29</v>
      </c>
      <c r="M79" t="str">
        <f t="shared" si="1"/>
        <v>Adolescent</v>
      </c>
      <c r="N79" t="s">
        <v>15</v>
      </c>
    </row>
    <row r="80" spans="1:14">
      <c r="A80">
        <v>15752</v>
      </c>
      <c r="B80" t="s">
        <v>32</v>
      </c>
      <c r="C80" t="s">
        <v>35</v>
      </c>
      <c r="D80" s="2">
        <v>80000</v>
      </c>
      <c r="E80">
        <v>2</v>
      </c>
      <c r="F80" t="s">
        <v>27</v>
      </c>
      <c r="G80" t="s">
        <v>14</v>
      </c>
      <c r="H80" t="s">
        <v>18</v>
      </c>
      <c r="I80">
        <v>2</v>
      </c>
      <c r="J80" t="s">
        <v>26</v>
      </c>
      <c r="K80" t="s">
        <v>24</v>
      </c>
      <c r="L80">
        <v>50</v>
      </c>
      <c r="M80" t="str">
        <f t="shared" si="1"/>
        <v>Middle Age</v>
      </c>
      <c r="N80" t="s">
        <v>15</v>
      </c>
    </row>
    <row r="81" spans="1:14">
      <c r="A81">
        <v>27745</v>
      </c>
      <c r="B81" t="s">
        <v>33</v>
      </c>
      <c r="C81" t="s">
        <v>35</v>
      </c>
      <c r="D81" s="2">
        <v>40000</v>
      </c>
      <c r="E81">
        <v>2</v>
      </c>
      <c r="F81" t="s">
        <v>13</v>
      </c>
      <c r="G81" t="s">
        <v>28</v>
      </c>
      <c r="H81" t="s">
        <v>15</v>
      </c>
      <c r="I81">
        <v>2</v>
      </c>
      <c r="J81" t="s">
        <v>23</v>
      </c>
      <c r="K81" t="s">
        <v>24</v>
      </c>
      <c r="L81">
        <v>63</v>
      </c>
      <c r="M81" t="str">
        <f t="shared" si="1"/>
        <v>Old</v>
      </c>
      <c r="N81" t="s">
        <v>15</v>
      </c>
    </row>
    <row r="82" spans="1:14">
      <c r="A82">
        <v>20828</v>
      </c>
      <c r="B82" t="s">
        <v>32</v>
      </c>
      <c r="C82" t="s">
        <v>34</v>
      </c>
      <c r="D82" s="2">
        <v>30000</v>
      </c>
      <c r="E82">
        <v>4</v>
      </c>
      <c r="F82" t="s">
        <v>30</v>
      </c>
      <c r="G82" t="s">
        <v>20</v>
      </c>
      <c r="H82" t="s">
        <v>15</v>
      </c>
      <c r="I82">
        <v>0</v>
      </c>
      <c r="J82" t="s">
        <v>16</v>
      </c>
      <c r="K82" t="s">
        <v>17</v>
      </c>
      <c r="L82">
        <v>45</v>
      </c>
      <c r="M82" t="str">
        <f t="shared" si="1"/>
        <v>Middle Age</v>
      </c>
      <c r="N82" t="s">
        <v>15</v>
      </c>
    </row>
    <row r="83" spans="1:14">
      <c r="A83">
        <v>19461</v>
      </c>
      <c r="B83" t="s">
        <v>33</v>
      </c>
      <c r="C83" t="s">
        <v>34</v>
      </c>
      <c r="D83" s="2">
        <v>10000</v>
      </c>
      <c r="E83">
        <v>4</v>
      </c>
      <c r="F83" t="s">
        <v>29</v>
      </c>
      <c r="G83" t="s">
        <v>25</v>
      </c>
      <c r="H83" t="s">
        <v>15</v>
      </c>
      <c r="I83">
        <v>2</v>
      </c>
      <c r="J83" t="s">
        <v>16</v>
      </c>
      <c r="K83" t="s">
        <v>17</v>
      </c>
      <c r="L83">
        <v>40</v>
      </c>
      <c r="M83" t="str">
        <f t="shared" si="1"/>
        <v>Middle Age</v>
      </c>
      <c r="N83" t="s">
        <v>18</v>
      </c>
    </row>
    <row r="84" spans="1:14">
      <c r="A84">
        <v>26941</v>
      </c>
      <c r="B84" t="s">
        <v>32</v>
      </c>
      <c r="C84" t="s">
        <v>35</v>
      </c>
      <c r="D84" s="2">
        <v>30000</v>
      </c>
      <c r="E84">
        <v>0</v>
      </c>
      <c r="F84" t="s">
        <v>13</v>
      </c>
      <c r="G84" t="s">
        <v>20</v>
      </c>
      <c r="H84" t="s">
        <v>15</v>
      </c>
      <c r="I84">
        <v>0</v>
      </c>
      <c r="J84" t="s">
        <v>16</v>
      </c>
      <c r="K84" t="s">
        <v>17</v>
      </c>
      <c r="L84">
        <v>47</v>
      </c>
      <c r="M84" t="str">
        <f t="shared" si="1"/>
        <v>Middle Age</v>
      </c>
      <c r="N84" t="s">
        <v>15</v>
      </c>
    </row>
    <row r="85" spans="1:14">
      <c r="A85">
        <v>28412</v>
      </c>
      <c r="B85" t="s">
        <v>33</v>
      </c>
      <c r="C85" t="s">
        <v>35</v>
      </c>
      <c r="D85" s="2">
        <v>20000</v>
      </c>
      <c r="E85">
        <v>0</v>
      </c>
      <c r="F85" t="s">
        <v>27</v>
      </c>
      <c r="G85" t="s">
        <v>25</v>
      </c>
      <c r="H85" t="s">
        <v>18</v>
      </c>
      <c r="I85">
        <v>1</v>
      </c>
      <c r="J85" t="s">
        <v>22</v>
      </c>
      <c r="K85" t="s">
        <v>17</v>
      </c>
      <c r="L85">
        <v>29</v>
      </c>
      <c r="M85" t="str">
        <f t="shared" si="1"/>
        <v>Adolescent</v>
      </c>
      <c r="N85" t="s">
        <v>18</v>
      </c>
    </row>
    <row r="86" spans="1:14">
      <c r="A86">
        <v>24485</v>
      </c>
      <c r="B86" t="s">
        <v>33</v>
      </c>
      <c r="C86" t="s">
        <v>35</v>
      </c>
      <c r="D86" s="2">
        <v>40000</v>
      </c>
      <c r="E86">
        <v>2</v>
      </c>
      <c r="F86" t="s">
        <v>13</v>
      </c>
      <c r="G86" t="s">
        <v>28</v>
      </c>
      <c r="H86" t="s">
        <v>18</v>
      </c>
      <c r="I86">
        <v>1</v>
      </c>
      <c r="J86" t="s">
        <v>23</v>
      </c>
      <c r="K86" t="s">
        <v>24</v>
      </c>
      <c r="L86">
        <v>52</v>
      </c>
      <c r="M86" t="str">
        <f t="shared" si="1"/>
        <v>Middle Age</v>
      </c>
      <c r="N86" t="s">
        <v>15</v>
      </c>
    </row>
    <row r="87" spans="1:14">
      <c r="A87">
        <v>16514</v>
      </c>
      <c r="B87" t="s">
        <v>33</v>
      </c>
      <c r="C87" t="s">
        <v>35</v>
      </c>
      <c r="D87" s="2">
        <v>10000</v>
      </c>
      <c r="E87">
        <v>0</v>
      </c>
      <c r="F87" t="s">
        <v>19</v>
      </c>
      <c r="G87" t="s">
        <v>25</v>
      </c>
      <c r="H87" t="s">
        <v>15</v>
      </c>
      <c r="I87">
        <v>1</v>
      </c>
      <c r="J87" t="s">
        <v>26</v>
      </c>
      <c r="K87" t="s">
        <v>24</v>
      </c>
      <c r="L87">
        <v>26</v>
      </c>
      <c r="M87" t="str">
        <f t="shared" si="1"/>
        <v>Adolescent</v>
      </c>
      <c r="N87" t="s">
        <v>15</v>
      </c>
    </row>
    <row r="88" spans="1:14">
      <c r="A88">
        <v>17191</v>
      </c>
      <c r="B88" t="s">
        <v>33</v>
      </c>
      <c r="C88" t="s">
        <v>35</v>
      </c>
      <c r="D88" s="2">
        <v>130000</v>
      </c>
      <c r="E88">
        <v>3</v>
      </c>
      <c r="F88" t="s">
        <v>19</v>
      </c>
      <c r="G88" t="s">
        <v>21</v>
      </c>
      <c r="H88" t="s">
        <v>18</v>
      </c>
      <c r="I88">
        <v>3</v>
      </c>
      <c r="J88" t="s">
        <v>16</v>
      </c>
      <c r="K88" t="s">
        <v>17</v>
      </c>
      <c r="L88">
        <v>51</v>
      </c>
      <c r="M88" t="str">
        <f t="shared" si="1"/>
        <v>Middle Age</v>
      </c>
      <c r="N88" t="s">
        <v>15</v>
      </c>
    </row>
    <row r="89" spans="1:14">
      <c r="A89">
        <v>19608</v>
      </c>
      <c r="B89" t="s">
        <v>32</v>
      </c>
      <c r="C89" t="s">
        <v>35</v>
      </c>
      <c r="D89" s="2">
        <v>80000</v>
      </c>
      <c r="E89">
        <v>5</v>
      </c>
      <c r="F89" t="s">
        <v>13</v>
      </c>
      <c r="G89" t="s">
        <v>21</v>
      </c>
      <c r="H89" t="s">
        <v>15</v>
      </c>
      <c r="I89">
        <v>4</v>
      </c>
      <c r="J89" t="s">
        <v>26</v>
      </c>
      <c r="K89" t="s">
        <v>24</v>
      </c>
      <c r="L89">
        <v>40</v>
      </c>
      <c r="M89" t="str">
        <f t="shared" si="1"/>
        <v>Middle Age</v>
      </c>
      <c r="N89" t="s">
        <v>18</v>
      </c>
    </row>
    <row r="90" spans="1:14">
      <c r="A90">
        <v>24119</v>
      </c>
      <c r="B90" t="s">
        <v>33</v>
      </c>
      <c r="C90" t="s">
        <v>35</v>
      </c>
      <c r="D90" s="2">
        <v>30000</v>
      </c>
      <c r="E90">
        <v>0</v>
      </c>
      <c r="F90" t="s">
        <v>19</v>
      </c>
      <c r="G90" t="s">
        <v>20</v>
      </c>
      <c r="H90" t="s">
        <v>18</v>
      </c>
      <c r="I90">
        <v>1</v>
      </c>
      <c r="J90" t="s">
        <v>22</v>
      </c>
      <c r="K90" t="s">
        <v>17</v>
      </c>
      <c r="L90">
        <v>29</v>
      </c>
      <c r="M90" t="str">
        <f t="shared" si="1"/>
        <v>Adolescent</v>
      </c>
      <c r="N90" t="s">
        <v>18</v>
      </c>
    </row>
    <row r="91" spans="1:14">
      <c r="A91">
        <v>25458</v>
      </c>
      <c r="B91" t="s">
        <v>32</v>
      </c>
      <c r="C91" t="s">
        <v>35</v>
      </c>
      <c r="D91" s="2">
        <v>20000</v>
      </c>
      <c r="E91">
        <v>1</v>
      </c>
      <c r="F91" t="s">
        <v>27</v>
      </c>
      <c r="G91" t="s">
        <v>25</v>
      </c>
      <c r="H91" t="s">
        <v>18</v>
      </c>
      <c r="I91">
        <v>1</v>
      </c>
      <c r="J91" t="s">
        <v>26</v>
      </c>
      <c r="K91" t="s">
        <v>17</v>
      </c>
      <c r="L91">
        <v>40</v>
      </c>
      <c r="M91" t="str">
        <f t="shared" si="1"/>
        <v>Middle Age</v>
      </c>
      <c r="N91" t="s">
        <v>15</v>
      </c>
    </row>
    <row r="92" spans="1:14">
      <c r="A92">
        <v>26886</v>
      </c>
      <c r="B92" t="s">
        <v>33</v>
      </c>
      <c r="C92" t="s">
        <v>34</v>
      </c>
      <c r="D92" s="2">
        <v>30000</v>
      </c>
      <c r="E92">
        <v>0</v>
      </c>
      <c r="F92" t="s">
        <v>19</v>
      </c>
      <c r="G92" t="s">
        <v>20</v>
      </c>
      <c r="H92" t="s">
        <v>18</v>
      </c>
      <c r="I92">
        <v>1</v>
      </c>
      <c r="J92" t="s">
        <v>16</v>
      </c>
      <c r="K92" t="s">
        <v>17</v>
      </c>
      <c r="L92">
        <v>29</v>
      </c>
      <c r="M92" t="str">
        <f t="shared" si="1"/>
        <v>Adolescent</v>
      </c>
      <c r="N92" t="s">
        <v>15</v>
      </c>
    </row>
    <row r="93" spans="1:14">
      <c r="A93">
        <v>28436</v>
      </c>
      <c r="B93" t="s">
        <v>33</v>
      </c>
      <c r="C93" t="s">
        <v>35</v>
      </c>
      <c r="D93" s="2">
        <v>30000</v>
      </c>
      <c r="E93">
        <v>0</v>
      </c>
      <c r="F93" t="s">
        <v>19</v>
      </c>
      <c r="G93" t="s">
        <v>20</v>
      </c>
      <c r="H93" t="s">
        <v>18</v>
      </c>
      <c r="I93">
        <v>1</v>
      </c>
      <c r="J93" t="s">
        <v>16</v>
      </c>
      <c r="K93" t="s">
        <v>17</v>
      </c>
      <c r="L93">
        <v>30</v>
      </c>
      <c r="M93" t="str">
        <f t="shared" si="1"/>
        <v>Adolescent</v>
      </c>
      <c r="N93" t="s">
        <v>15</v>
      </c>
    </row>
    <row r="94" spans="1:14">
      <c r="A94">
        <v>19562</v>
      </c>
      <c r="B94" t="s">
        <v>33</v>
      </c>
      <c r="C94" t="s">
        <v>34</v>
      </c>
      <c r="D94" s="2">
        <v>60000</v>
      </c>
      <c r="E94">
        <v>2</v>
      </c>
      <c r="F94" t="s">
        <v>13</v>
      </c>
      <c r="G94" t="s">
        <v>21</v>
      </c>
      <c r="H94" t="s">
        <v>15</v>
      </c>
      <c r="I94">
        <v>1</v>
      </c>
      <c r="J94" t="s">
        <v>22</v>
      </c>
      <c r="K94" t="s">
        <v>24</v>
      </c>
      <c r="L94">
        <v>37</v>
      </c>
      <c r="M94" t="str">
        <f t="shared" si="1"/>
        <v>Middle Age</v>
      </c>
      <c r="N94" t="s">
        <v>15</v>
      </c>
    </row>
    <row r="95" spans="1:14">
      <c r="A95">
        <v>15608</v>
      </c>
      <c r="B95" t="s">
        <v>33</v>
      </c>
      <c r="C95" t="s">
        <v>34</v>
      </c>
      <c r="D95" s="2">
        <v>30000</v>
      </c>
      <c r="E95">
        <v>0</v>
      </c>
      <c r="F95" t="s">
        <v>19</v>
      </c>
      <c r="G95" t="s">
        <v>20</v>
      </c>
      <c r="H95" t="s">
        <v>18</v>
      </c>
      <c r="I95">
        <v>1</v>
      </c>
      <c r="J95" t="s">
        <v>22</v>
      </c>
      <c r="K95" t="s">
        <v>17</v>
      </c>
      <c r="L95">
        <v>33</v>
      </c>
      <c r="M95" t="str">
        <f t="shared" si="1"/>
        <v>Middle Age</v>
      </c>
      <c r="N95" t="s">
        <v>18</v>
      </c>
    </row>
    <row r="96" spans="1:14">
      <c r="A96">
        <v>16487</v>
      </c>
      <c r="B96" t="s">
        <v>33</v>
      </c>
      <c r="C96" t="s">
        <v>34</v>
      </c>
      <c r="D96" s="2">
        <v>30000</v>
      </c>
      <c r="E96">
        <v>3</v>
      </c>
      <c r="F96" t="s">
        <v>27</v>
      </c>
      <c r="G96" t="s">
        <v>14</v>
      </c>
      <c r="H96" t="s">
        <v>15</v>
      </c>
      <c r="I96">
        <v>2</v>
      </c>
      <c r="J96" t="s">
        <v>23</v>
      </c>
      <c r="K96" t="s">
        <v>24</v>
      </c>
      <c r="L96">
        <v>55</v>
      </c>
      <c r="M96" t="str">
        <f t="shared" si="1"/>
        <v>Old</v>
      </c>
      <c r="N96" t="s">
        <v>18</v>
      </c>
    </row>
    <row r="97" spans="1:14">
      <c r="A97">
        <v>17197</v>
      </c>
      <c r="B97" t="s">
        <v>33</v>
      </c>
      <c r="C97" t="s">
        <v>34</v>
      </c>
      <c r="D97" s="2">
        <v>90000</v>
      </c>
      <c r="E97">
        <v>5</v>
      </c>
      <c r="F97" t="s">
        <v>19</v>
      </c>
      <c r="G97" t="s">
        <v>21</v>
      </c>
      <c r="H97" t="s">
        <v>15</v>
      </c>
      <c r="I97">
        <v>2</v>
      </c>
      <c r="J97" t="s">
        <v>43</v>
      </c>
      <c r="K97" t="s">
        <v>17</v>
      </c>
      <c r="L97">
        <v>62</v>
      </c>
      <c r="M97" t="str">
        <f t="shared" si="1"/>
        <v>Old</v>
      </c>
      <c r="N97" t="s">
        <v>18</v>
      </c>
    </row>
    <row r="98" spans="1:14">
      <c r="A98">
        <v>12507</v>
      </c>
      <c r="B98" t="s">
        <v>32</v>
      </c>
      <c r="C98" t="s">
        <v>35</v>
      </c>
      <c r="D98" s="2">
        <v>30000</v>
      </c>
      <c r="E98">
        <v>1</v>
      </c>
      <c r="F98" t="s">
        <v>19</v>
      </c>
      <c r="G98" t="s">
        <v>20</v>
      </c>
      <c r="H98" t="s">
        <v>15</v>
      </c>
      <c r="I98">
        <v>1</v>
      </c>
      <c r="J98" t="s">
        <v>16</v>
      </c>
      <c r="K98" t="s">
        <v>17</v>
      </c>
      <c r="L98">
        <v>43</v>
      </c>
      <c r="M98" t="str">
        <f t="shared" si="1"/>
        <v>Middle Age</v>
      </c>
      <c r="N98" t="s">
        <v>18</v>
      </c>
    </row>
    <row r="99" spans="1:14">
      <c r="A99">
        <v>23940</v>
      </c>
      <c r="B99" t="s">
        <v>32</v>
      </c>
      <c r="C99" t="s">
        <v>35</v>
      </c>
      <c r="D99" s="2">
        <v>40000</v>
      </c>
      <c r="E99">
        <v>1</v>
      </c>
      <c r="F99" t="s">
        <v>13</v>
      </c>
      <c r="G99" t="s">
        <v>14</v>
      </c>
      <c r="H99" t="s">
        <v>15</v>
      </c>
      <c r="I99">
        <v>1</v>
      </c>
      <c r="J99" t="s">
        <v>16</v>
      </c>
      <c r="K99" t="s">
        <v>17</v>
      </c>
      <c r="L99">
        <v>44</v>
      </c>
      <c r="M99" t="str">
        <f t="shared" si="1"/>
        <v>Middle Age</v>
      </c>
      <c r="N99" t="s">
        <v>15</v>
      </c>
    </row>
    <row r="100" spans="1:14">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c r="A124">
        <v>12344</v>
      </c>
      <c r="B124" t="s">
        <v>33</v>
      </c>
      <c r="C124" t="s">
        <v>34</v>
      </c>
      <c r="D124" s="2">
        <v>80000</v>
      </c>
      <c r="E124">
        <v>0</v>
      </c>
      <c r="F124" t="s">
        <v>13</v>
      </c>
      <c r="G124" t="s">
        <v>21</v>
      </c>
      <c r="H124" t="s">
        <v>18</v>
      </c>
      <c r="I124">
        <v>3</v>
      </c>
      <c r="J124" t="s">
        <v>43</v>
      </c>
      <c r="K124" t="s">
        <v>24</v>
      </c>
      <c r="L124">
        <v>31</v>
      </c>
      <c r="M124" t="str">
        <f t="shared" si="1"/>
        <v>Middle Age</v>
      </c>
      <c r="N124" t="s">
        <v>18</v>
      </c>
    </row>
    <row r="125" spans="1:14">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c r="A131">
        <v>26818</v>
      </c>
      <c r="B131" t="s">
        <v>33</v>
      </c>
      <c r="C131" t="s">
        <v>35</v>
      </c>
      <c r="D131" s="2">
        <v>10000</v>
      </c>
      <c r="E131">
        <v>3</v>
      </c>
      <c r="F131" t="s">
        <v>27</v>
      </c>
      <c r="G131" t="s">
        <v>25</v>
      </c>
      <c r="H131" t="s">
        <v>15</v>
      </c>
      <c r="I131">
        <v>1</v>
      </c>
      <c r="J131" t="s">
        <v>16</v>
      </c>
      <c r="K131" t="s">
        <v>17</v>
      </c>
      <c r="L131">
        <v>39</v>
      </c>
      <c r="M131" t="str">
        <f t="shared" ref="M131:M194" si="2">IF(L131&gt;54, "Old", IF(L131&gt;=31,"Middle Age", IF(L131&lt;31,"Adolescent","Invalid")))</f>
        <v>Middle Age</v>
      </c>
      <c r="N131" t="s">
        <v>15</v>
      </c>
    </row>
    <row r="132" spans="1:14">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c r="A145">
        <v>16614</v>
      </c>
      <c r="B145" t="s">
        <v>32</v>
      </c>
      <c r="C145" t="s">
        <v>34</v>
      </c>
      <c r="D145" s="2">
        <v>80000</v>
      </c>
      <c r="E145">
        <v>0</v>
      </c>
      <c r="F145" t="s">
        <v>13</v>
      </c>
      <c r="G145" t="s">
        <v>21</v>
      </c>
      <c r="H145" t="s">
        <v>15</v>
      </c>
      <c r="I145">
        <v>3</v>
      </c>
      <c r="J145" t="s">
        <v>43</v>
      </c>
      <c r="K145" t="s">
        <v>24</v>
      </c>
      <c r="L145">
        <v>32</v>
      </c>
      <c r="M145" t="str">
        <f t="shared" si="2"/>
        <v>Middle Age</v>
      </c>
      <c r="N145" t="s">
        <v>18</v>
      </c>
    </row>
    <row r="146" spans="1:14">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c r="A169">
        <v>14233</v>
      </c>
      <c r="B169" t="s">
        <v>33</v>
      </c>
      <c r="C169" t="s">
        <v>35</v>
      </c>
      <c r="D169" s="2">
        <v>100000</v>
      </c>
      <c r="E169">
        <v>0</v>
      </c>
      <c r="F169" t="s">
        <v>27</v>
      </c>
      <c r="G169" t="s">
        <v>28</v>
      </c>
      <c r="H169" t="s">
        <v>15</v>
      </c>
      <c r="I169">
        <v>3</v>
      </c>
      <c r="J169" t="s">
        <v>43</v>
      </c>
      <c r="K169" t="s">
        <v>24</v>
      </c>
      <c r="L169">
        <v>35</v>
      </c>
      <c r="M169" t="str">
        <f t="shared" si="2"/>
        <v>Middle Age</v>
      </c>
      <c r="N169" t="s">
        <v>18</v>
      </c>
    </row>
    <row r="170" spans="1:14">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c r="A180">
        <v>14191</v>
      </c>
      <c r="B180" t="s">
        <v>32</v>
      </c>
      <c r="C180" t="s">
        <v>35</v>
      </c>
      <c r="D180" s="2">
        <v>160000</v>
      </c>
      <c r="E180">
        <v>4</v>
      </c>
      <c r="F180" t="s">
        <v>19</v>
      </c>
      <c r="G180" t="s">
        <v>21</v>
      </c>
      <c r="H180" t="s">
        <v>18</v>
      </c>
      <c r="I180">
        <v>2</v>
      </c>
      <c r="J180" t="s">
        <v>43</v>
      </c>
      <c r="K180" t="s">
        <v>17</v>
      </c>
      <c r="L180">
        <v>55</v>
      </c>
      <c r="M180" t="str">
        <f t="shared" si="2"/>
        <v>Old</v>
      </c>
      <c r="N180" t="s">
        <v>15</v>
      </c>
    </row>
    <row r="181" spans="1:14">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c r="A186">
        <v>28918</v>
      </c>
      <c r="B186" t="s">
        <v>32</v>
      </c>
      <c r="C186" t="s">
        <v>34</v>
      </c>
      <c r="D186" s="2">
        <v>130000</v>
      </c>
      <c r="E186">
        <v>4</v>
      </c>
      <c r="F186" t="s">
        <v>27</v>
      </c>
      <c r="G186" t="s">
        <v>28</v>
      </c>
      <c r="H186" t="s">
        <v>18</v>
      </c>
      <c r="I186">
        <v>4</v>
      </c>
      <c r="J186" t="s">
        <v>43</v>
      </c>
      <c r="K186" t="s">
        <v>17</v>
      </c>
      <c r="L186">
        <v>58</v>
      </c>
      <c r="M186" t="str">
        <f t="shared" si="2"/>
        <v>Old</v>
      </c>
      <c r="N186" t="s">
        <v>18</v>
      </c>
    </row>
    <row r="187" spans="1:14">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c r="A189">
        <v>18151</v>
      </c>
      <c r="B189" t="s">
        <v>33</v>
      </c>
      <c r="C189" t="s">
        <v>35</v>
      </c>
      <c r="D189" s="2">
        <v>80000</v>
      </c>
      <c r="E189">
        <v>5</v>
      </c>
      <c r="F189" t="s">
        <v>19</v>
      </c>
      <c r="G189" t="s">
        <v>21</v>
      </c>
      <c r="H189" t="s">
        <v>18</v>
      </c>
      <c r="I189">
        <v>2</v>
      </c>
      <c r="J189" t="s">
        <v>43</v>
      </c>
      <c r="K189" t="s">
        <v>17</v>
      </c>
      <c r="L189">
        <v>59</v>
      </c>
      <c r="M189" t="str">
        <f t="shared" si="2"/>
        <v>Old</v>
      </c>
      <c r="N189" t="s">
        <v>18</v>
      </c>
    </row>
    <row r="190" spans="1:14">
      <c r="A190">
        <v>20606</v>
      </c>
      <c r="B190" t="s">
        <v>32</v>
      </c>
      <c r="C190" t="s">
        <v>34</v>
      </c>
      <c r="D190" s="2">
        <v>70000</v>
      </c>
      <c r="E190">
        <v>0</v>
      </c>
      <c r="F190" t="s">
        <v>13</v>
      </c>
      <c r="G190" t="s">
        <v>21</v>
      </c>
      <c r="H190" t="s">
        <v>15</v>
      </c>
      <c r="I190">
        <v>4</v>
      </c>
      <c r="J190" t="s">
        <v>43</v>
      </c>
      <c r="K190" t="s">
        <v>24</v>
      </c>
      <c r="L190">
        <v>32</v>
      </c>
      <c r="M190" t="str">
        <f t="shared" si="2"/>
        <v>Middle Age</v>
      </c>
      <c r="N190" t="s">
        <v>15</v>
      </c>
    </row>
    <row r="191" spans="1:14">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c r="A194">
        <v>15682</v>
      </c>
      <c r="B194" t="s">
        <v>33</v>
      </c>
      <c r="C194" t="s">
        <v>34</v>
      </c>
      <c r="D194" s="2">
        <v>80000</v>
      </c>
      <c r="E194">
        <v>5</v>
      </c>
      <c r="F194" t="s">
        <v>13</v>
      </c>
      <c r="G194" t="s">
        <v>28</v>
      </c>
      <c r="H194" t="s">
        <v>15</v>
      </c>
      <c r="I194">
        <v>2</v>
      </c>
      <c r="J194" t="s">
        <v>43</v>
      </c>
      <c r="K194" t="s">
        <v>17</v>
      </c>
      <c r="L194">
        <v>62</v>
      </c>
      <c r="M194" t="str">
        <f t="shared" si="2"/>
        <v>Old</v>
      </c>
      <c r="N194" t="s">
        <v>18</v>
      </c>
    </row>
    <row r="195" spans="1:14">
      <c r="A195">
        <v>26032</v>
      </c>
      <c r="B195" t="s">
        <v>32</v>
      </c>
      <c r="C195" t="s">
        <v>34</v>
      </c>
      <c r="D195" s="2">
        <v>70000</v>
      </c>
      <c r="E195">
        <v>5</v>
      </c>
      <c r="F195" t="s">
        <v>13</v>
      </c>
      <c r="G195" t="s">
        <v>21</v>
      </c>
      <c r="H195" t="s">
        <v>15</v>
      </c>
      <c r="I195">
        <v>4</v>
      </c>
      <c r="J195" t="s">
        <v>43</v>
      </c>
      <c r="K195" t="s">
        <v>24</v>
      </c>
      <c r="L195">
        <v>41</v>
      </c>
      <c r="M195" t="str">
        <f t="shared" ref="M195:M258" si="3">IF(L195&gt;54, "Old", IF(L195&gt;=31,"Middle Age", IF(L195&lt;31,"Adolescent","Invalid")))</f>
        <v>Middle Age</v>
      </c>
      <c r="N195" t="s">
        <v>18</v>
      </c>
    </row>
    <row r="196" spans="1:14">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c r="A201">
        <v>11453</v>
      </c>
      <c r="B201" t="s">
        <v>33</v>
      </c>
      <c r="C201" t="s">
        <v>35</v>
      </c>
      <c r="D201" s="2">
        <v>80000</v>
      </c>
      <c r="E201">
        <v>0</v>
      </c>
      <c r="F201" t="s">
        <v>13</v>
      </c>
      <c r="G201" t="s">
        <v>21</v>
      </c>
      <c r="H201" t="s">
        <v>18</v>
      </c>
      <c r="I201">
        <v>3</v>
      </c>
      <c r="J201" t="s">
        <v>43</v>
      </c>
      <c r="K201" t="s">
        <v>24</v>
      </c>
      <c r="L201">
        <v>33</v>
      </c>
      <c r="M201" t="str">
        <f t="shared" si="3"/>
        <v>Middle Age</v>
      </c>
      <c r="N201" t="s">
        <v>15</v>
      </c>
    </row>
    <row r="202" spans="1:14">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c r="A208">
        <v>11415</v>
      </c>
      <c r="B208" t="s">
        <v>33</v>
      </c>
      <c r="C208" t="s">
        <v>35</v>
      </c>
      <c r="D208" s="2">
        <v>90000</v>
      </c>
      <c r="E208">
        <v>5</v>
      </c>
      <c r="F208" t="s">
        <v>19</v>
      </c>
      <c r="G208" t="s">
        <v>21</v>
      </c>
      <c r="H208" t="s">
        <v>18</v>
      </c>
      <c r="I208">
        <v>2</v>
      </c>
      <c r="J208" t="s">
        <v>43</v>
      </c>
      <c r="K208" t="s">
        <v>17</v>
      </c>
      <c r="L208">
        <v>62</v>
      </c>
      <c r="M208" t="str">
        <f t="shared" si="3"/>
        <v>Old</v>
      </c>
      <c r="N208" t="s">
        <v>18</v>
      </c>
    </row>
    <row r="209" spans="1:14">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c r="A215">
        <v>11451</v>
      </c>
      <c r="B215" t="s">
        <v>33</v>
      </c>
      <c r="C215" t="s">
        <v>35</v>
      </c>
      <c r="D215" s="2">
        <v>70000</v>
      </c>
      <c r="E215">
        <v>0</v>
      </c>
      <c r="F215" t="s">
        <v>13</v>
      </c>
      <c r="G215" t="s">
        <v>21</v>
      </c>
      <c r="H215" t="s">
        <v>18</v>
      </c>
      <c r="I215">
        <v>4</v>
      </c>
      <c r="J215" t="s">
        <v>43</v>
      </c>
      <c r="K215" t="s">
        <v>24</v>
      </c>
      <c r="L215">
        <v>31</v>
      </c>
      <c r="M215" t="str">
        <f t="shared" si="3"/>
        <v>Middle Age</v>
      </c>
      <c r="N215" t="s">
        <v>15</v>
      </c>
    </row>
    <row r="216" spans="1:14">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c r="A225">
        <v>18711</v>
      </c>
      <c r="B225" t="s">
        <v>33</v>
      </c>
      <c r="C225" t="s">
        <v>34</v>
      </c>
      <c r="D225" s="2">
        <v>70000</v>
      </c>
      <c r="E225">
        <v>5</v>
      </c>
      <c r="F225" t="s">
        <v>13</v>
      </c>
      <c r="G225" t="s">
        <v>21</v>
      </c>
      <c r="H225" t="s">
        <v>15</v>
      </c>
      <c r="I225">
        <v>4</v>
      </c>
      <c r="J225" t="s">
        <v>43</v>
      </c>
      <c r="K225" t="s">
        <v>24</v>
      </c>
      <c r="L225">
        <v>39</v>
      </c>
      <c r="M225" t="str">
        <f t="shared" si="3"/>
        <v>Middle Age</v>
      </c>
      <c r="N225" t="s">
        <v>18</v>
      </c>
    </row>
    <row r="226" spans="1:14">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c r="A231">
        <v>28915</v>
      </c>
      <c r="B231" t="s">
        <v>33</v>
      </c>
      <c r="C231" t="s">
        <v>35</v>
      </c>
      <c r="D231" s="2">
        <v>80000</v>
      </c>
      <c r="E231">
        <v>5</v>
      </c>
      <c r="F231" t="s">
        <v>27</v>
      </c>
      <c r="G231" t="s">
        <v>28</v>
      </c>
      <c r="H231" t="s">
        <v>15</v>
      </c>
      <c r="I231">
        <v>3</v>
      </c>
      <c r="J231" t="s">
        <v>43</v>
      </c>
      <c r="K231" t="s">
        <v>17</v>
      </c>
      <c r="L231">
        <v>57</v>
      </c>
      <c r="M231" t="str">
        <f t="shared" si="3"/>
        <v>Old</v>
      </c>
      <c r="N231" t="s">
        <v>18</v>
      </c>
    </row>
    <row r="232" spans="1:14">
      <c r="A232">
        <v>22830</v>
      </c>
      <c r="B232" t="s">
        <v>32</v>
      </c>
      <c r="C232" t="s">
        <v>35</v>
      </c>
      <c r="D232" s="2">
        <v>120000</v>
      </c>
      <c r="E232">
        <v>4</v>
      </c>
      <c r="F232" t="s">
        <v>19</v>
      </c>
      <c r="G232" t="s">
        <v>28</v>
      </c>
      <c r="H232" t="s">
        <v>15</v>
      </c>
      <c r="I232">
        <v>3</v>
      </c>
      <c r="J232" t="s">
        <v>43</v>
      </c>
      <c r="K232" t="s">
        <v>17</v>
      </c>
      <c r="L232">
        <v>56</v>
      </c>
      <c r="M232" t="str">
        <f t="shared" si="3"/>
        <v>Old</v>
      </c>
      <c r="N232" t="s">
        <v>18</v>
      </c>
    </row>
    <row r="233" spans="1:14">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c r="A236">
        <v>24611</v>
      </c>
      <c r="B236" t="s">
        <v>33</v>
      </c>
      <c r="C236" t="s">
        <v>35</v>
      </c>
      <c r="D236" s="2">
        <v>90000</v>
      </c>
      <c r="E236">
        <v>0</v>
      </c>
      <c r="F236" t="s">
        <v>13</v>
      </c>
      <c r="G236" t="s">
        <v>21</v>
      </c>
      <c r="H236" t="s">
        <v>18</v>
      </c>
      <c r="I236">
        <v>4</v>
      </c>
      <c r="J236" t="s">
        <v>43</v>
      </c>
      <c r="K236" t="s">
        <v>24</v>
      </c>
      <c r="L236">
        <v>35</v>
      </c>
      <c r="M236" t="str">
        <f t="shared" si="3"/>
        <v>Middle Age</v>
      </c>
      <c r="N236" t="s">
        <v>15</v>
      </c>
    </row>
    <row r="237" spans="1:14">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c r="A246">
        <v>19057</v>
      </c>
      <c r="B246" t="s">
        <v>32</v>
      </c>
      <c r="C246" t="s">
        <v>34</v>
      </c>
      <c r="D246" s="2">
        <v>120000</v>
      </c>
      <c r="E246">
        <v>3</v>
      </c>
      <c r="F246" t="s">
        <v>13</v>
      </c>
      <c r="G246" t="s">
        <v>28</v>
      </c>
      <c r="H246" t="s">
        <v>18</v>
      </c>
      <c r="I246">
        <v>2</v>
      </c>
      <c r="J246" t="s">
        <v>43</v>
      </c>
      <c r="K246" t="s">
        <v>17</v>
      </c>
      <c r="L246">
        <v>52</v>
      </c>
      <c r="M246" t="str">
        <f t="shared" si="3"/>
        <v>Middle Age</v>
      </c>
      <c r="N246" t="s">
        <v>15</v>
      </c>
    </row>
    <row r="247" spans="1:14">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c r="A249">
        <v>21568</v>
      </c>
      <c r="B249" t="s">
        <v>32</v>
      </c>
      <c r="C249" t="s">
        <v>34</v>
      </c>
      <c r="D249" s="2">
        <v>100000</v>
      </c>
      <c r="E249">
        <v>0</v>
      </c>
      <c r="F249" t="s">
        <v>27</v>
      </c>
      <c r="G249" t="s">
        <v>28</v>
      </c>
      <c r="H249" t="s">
        <v>15</v>
      </c>
      <c r="I249">
        <v>4</v>
      </c>
      <c r="J249" t="s">
        <v>43</v>
      </c>
      <c r="K249" t="s">
        <v>24</v>
      </c>
      <c r="L249">
        <v>34</v>
      </c>
      <c r="M249" t="str">
        <f t="shared" si="3"/>
        <v>Middle Age</v>
      </c>
      <c r="N249" t="s">
        <v>15</v>
      </c>
    </row>
    <row r="250" spans="1:14">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c r="A255">
        <v>20598</v>
      </c>
      <c r="B255" t="s">
        <v>32</v>
      </c>
      <c r="C255" t="s">
        <v>35</v>
      </c>
      <c r="D255" s="2">
        <v>100000</v>
      </c>
      <c r="E255">
        <v>3</v>
      </c>
      <c r="F255" t="s">
        <v>29</v>
      </c>
      <c r="G255" t="s">
        <v>21</v>
      </c>
      <c r="H255" t="s">
        <v>15</v>
      </c>
      <c r="I255">
        <v>0</v>
      </c>
      <c r="J255" t="s">
        <v>43</v>
      </c>
      <c r="K255" t="s">
        <v>17</v>
      </c>
      <c r="L255">
        <v>59</v>
      </c>
      <c r="M255" t="str">
        <f t="shared" si="3"/>
        <v>Old</v>
      </c>
      <c r="N255" t="s">
        <v>15</v>
      </c>
    </row>
    <row r="256" spans="1:14">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c r="A259">
        <v>14164</v>
      </c>
      <c r="B259" t="s">
        <v>33</v>
      </c>
      <c r="C259" t="s">
        <v>34</v>
      </c>
      <c r="D259" s="2">
        <v>50000</v>
      </c>
      <c r="E259">
        <v>0</v>
      </c>
      <c r="F259" t="s">
        <v>30</v>
      </c>
      <c r="G259" t="s">
        <v>14</v>
      </c>
      <c r="H259" t="s">
        <v>15</v>
      </c>
      <c r="I259">
        <v>0</v>
      </c>
      <c r="J259" t="s">
        <v>16</v>
      </c>
      <c r="K259" t="s">
        <v>17</v>
      </c>
      <c r="L259">
        <v>36</v>
      </c>
      <c r="M259" t="str">
        <f t="shared" ref="M259:M322" si="4">IF(L259&gt;54, "Old", IF(L259&gt;=31,"Middle Age", IF(L259&lt;31,"Adolescent","Invalid")))</f>
        <v>Middle Age</v>
      </c>
      <c r="N259" t="s">
        <v>15</v>
      </c>
    </row>
    <row r="260" spans="1:14">
      <c r="A260">
        <v>14193</v>
      </c>
      <c r="B260" t="s">
        <v>33</v>
      </c>
      <c r="C260" t="s">
        <v>34</v>
      </c>
      <c r="D260" s="2">
        <v>100000</v>
      </c>
      <c r="E260">
        <v>3</v>
      </c>
      <c r="F260" t="s">
        <v>19</v>
      </c>
      <c r="G260" t="s">
        <v>28</v>
      </c>
      <c r="H260" t="s">
        <v>15</v>
      </c>
      <c r="I260">
        <v>4</v>
      </c>
      <c r="J260" t="s">
        <v>43</v>
      </c>
      <c r="K260" t="s">
        <v>17</v>
      </c>
      <c r="L260">
        <v>56</v>
      </c>
      <c r="M260" t="str">
        <f t="shared" si="4"/>
        <v>Old</v>
      </c>
      <c r="N260" t="s">
        <v>18</v>
      </c>
    </row>
    <row r="261" spans="1:14">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c r="A265">
        <v>23419</v>
      </c>
      <c r="B265" t="s">
        <v>33</v>
      </c>
      <c r="C265" t="s">
        <v>34</v>
      </c>
      <c r="D265" s="2">
        <v>70000</v>
      </c>
      <c r="E265">
        <v>5</v>
      </c>
      <c r="F265" t="s">
        <v>13</v>
      </c>
      <c r="G265" t="s">
        <v>21</v>
      </c>
      <c r="H265" t="s">
        <v>15</v>
      </c>
      <c r="I265">
        <v>3</v>
      </c>
      <c r="J265" t="s">
        <v>43</v>
      </c>
      <c r="K265" t="s">
        <v>24</v>
      </c>
      <c r="L265">
        <v>39</v>
      </c>
      <c r="M265" t="str">
        <f t="shared" si="4"/>
        <v>Middle Age</v>
      </c>
      <c r="N265" t="s">
        <v>18</v>
      </c>
    </row>
    <row r="266" spans="1:14">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c r="A280">
        <v>20625</v>
      </c>
      <c r="B280" t="s">
        <v>32</v>
      </c>
      <c r="C280" t="s">
        <v>35</v>
      </c>
      <c r="D280" s="2">
        <v>100000</v>
      </c>
      <c r="E280">
        <v>0</v>
      </c>
      <c r="F280" t="s">
        <v>27</v>
      </c>
      <c r="G280" t="s">
        <v>28</v>
      </c>
      <c r="H280" t="s">
        <v>15</v>
      </c>
      <c r="I280">
        <v>3</v>
      </c>
      <c r="J280" t="s">
        <v>43</v>
      </c>
      <c r="K280" t="s">
        <v>24</v>
      </c>
      <c r="L280">
        <v>35</v>
      </c>
      <c r="M280" t="str">
        <f t="shared" si="4"/>
        <v>Middle Age</v>
      </c>
      <c r="N280" t="s">
        <v>15</v>
      </c>
    </row>
    <row r="281" spans="1:14">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c r="A297">
        <v>21557</v>
      </c>
      <c r="B297" t="s">
        <v>33</v>
      </c>
      <c r="C297" t="s">
        <v>34</v>
      </c>
      <c r="D297" s="2">
        <v>110000</v>
      </c>
      <c r="E297">
        <v>0</v>
      </c>
      <c r="F297" t="s">
        <v>19</v>
      </c>
      <c r="G297" t="s">
        <v>28</v>
      </c>
      <c r="H297" t="s">
        <v>15</v>
      </c>
      <c r="I297">
        <v>3</v>
      </c>
      <c r="J297" t="s">
        <v>43</v>
      </c>
      <c r="K297" t="s">
        <v>24</v>
      </c>
      <c r="L297">
        <v>32</v>
      </c>
      <c r="M297" t="str">
        <f t="shared" si="4"/>
        <v>Middle Age</v>
      </c>
      <c r="N297" t="s">
        <v>15</v>
      </c>
    </row>
    <row r="298" spans="1:14">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c r="A320">
        <v>19066</v>
      </c>
      <c r="B320" t="s">
        <v>32</v>
      </c>
      <c r="C320" t="s">
        <v>35</v>
      </c>
      <c r="D320" s="2">
        <v>130000</v>
      </c>
      <c r="E320">
        <v>4</v>
      </c>
      <c r="F320" t="s">
        <v>19</v>
      </c>
      <c r="G320" t="s">
        <v>21</v>
      </c>
      <c r="H320" t="s">
        <v>18</v>
      </c>
      <c r="I320">
        <v>3</v>
      </c>
      <c r="J320" t="s">
        <v>43</v>
      </c>
      <c r="K320" t="s">
        <v>17</v>
      </c>
      <c r="L320">
        <v>54</v>
      </c>
      <c r="M320" t="str">
        <f t="shared" si="4"/>
        <v>Middle Age</v>
      </c>
      <c r="N320" t="s">
        <v>18</v>
      </c>
    </row>
    <row r="321" spans="1:14">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c r="A323">
        <v>16675</v>
      </c>
      <c r="B323" t="s">
        <v>33</v>
      </c>
      <c r="C323" t="s">
        <v>34</v>
      </c>
      <c r="D323" s="2">
        <v>160000</v>
      </c>
      <c r="E323">
        <v>0</v>
      </c>
      <c r="F323" t="s">
        <v>30</v>
      </c>
      <c r="G323" t="s">
        <v>28</v>
      </c>
      <c r="H323" t="s">
        <v>18</v>
      </c>
      <c r="I323">
        <v>3</v>
      </c>
      <c r="J323" t="s">
        <v>16</v>
      </c>
      <c r="K323" t="s">
        <v>24</v>
      </c>
      <c r="L323">
        <v>47</v>
      </c>
      <c r="M323" t="str">
        <f t="shared" ref="M323:M386" si="5">IF(L323&gt;54, "Old", IF(L323&gt;=31,"Middle Age", IF(L323&lt;31,"Adolescent","Invalid")))</f>
        <v>Middle Age</v>
      </c>
      <c r="N323" t="s">
        <v>15</v>
      </c>
    </row>
    <row r="324" spans="1:14">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c r="A331">
        <v>12663</v>
      </c>
      <c r="B331" t="s">
        <v>32</v>
      </c>
      <c r="C331" t="s">
        <v>34</v>
      </c>
      <c r="D331" s="2">
        <v>90000</v>
      </c>
      <c r="E331">
        <v>5</v>
      </c>
      <c r="F331" t="s">
        <v>29</v>
      </c>
      <c r="G331" t="s">
        <v>14</v>
      </c>
      <c r="H331" t="s">
        <v>15</v>
      </c>
      <c r="I331">
        <v>2</v>
      </c>
      <c r="J331" t="s">
        <v>43</v>
      </c>
      <c r="K331" t="s">
        <v>17</v>
      </c>
      <c r="L331">
        <v>59</v>
      </c>
      <c r="M331" t="str">
        <f t="shared" si="5"/>
        <v>Old</v>
      </c>
      <c r="N331" t="s">
        <v>18</v>
      </c>
    </row>
    <row r="332" spans="1:14">
      <c r="A332">
        <v>24898</v>
      </c>
      <c r="B332" t="s">
        <v>33</v>
      </c>
      <c r="C332" t="s">
        <v>34</v>
      </c>
      <c r="D332" s="2">
        <v>80000</v>
      </c>
      <c r="E332">
        <v>0</v>
      </c>
      <c r="F332" t="s">
        <v>13</v>
      </c>
      <c r="G332" t="s">
        <v>21</v>
      </c>
      <c r="H332" t="s">
        <v>15</v>
      </c>
      <c r="I332">
        <v>3</v>
      </c>
      <c r="J332" t="s">
        <v>43</v>
      </c>
      <c r="K332" t="s">
        <v>24</v>
      </c>
      <c r="L332">
        <v>32</v>
      </c>
      <c r="M332" t="str">
        <f t="shared" si="5"/>
        <v>Middle Age</v>
      </c>
      <c r="N332" t="s">
        <v>18</v>
      </c>
    </row>
    <row r="333" spans="1:14">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c r="A357">
        <v>17238</v>
      </c>
      <c r="B357" t="s">
        <v>33</v>
      </c>
      <c r="C357" t="s">
        <v>35</v>
      </c>
      <c r="D357" s="2">
        <v>80000</v>
      </c>
      <c r="E357">
        <v>0</v>
      </c>
      <c r="F357" t="s">
        <v>13</v>
      </c>
      <c r="G357" t="s">
        <v>21</v>
      </c>
      <c r="H357" t="s">
        <v>15</v>
      </c>
      <c r="I357">
        <v>3</v>
      </c>
      <c r="J357" t="s">
        <v>43</v>
      </c>
      <c r="K357" t="s">
        <v>24</v>
      </c>
      <c r="L357">
        <v>32</v>
      </c>
      <c r="M357" t="str">
        <f t="shared" si="5"/>
        <v>Middle Age</v>
      </c>
      <c r="N357" t="s">
        <v>18</v>
      </c>
    </row>
    <row r="358" spans="1:14">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c r="A361">
        <v>17230</v>
      </c>
      <c r="B361" t="s">
        <v>32</v>
      </c>
      <c r="C361" t="s">
        <v>35</v>
      </c>
      <c r="D361" s="2">
        <v>80000</v>
      </c>
      <c r="E361">
        <v>0</v>
      </c>
      <c r="F361" t="s">
        <v>13</v>
      </c>
      <c r="G361" t="s">
        <v>21</v>
      </c>
      <c r="H361" t="s">
        <v>15</v>
      </c>
      <c r="I361">
        <v>3</v>
      </c>
      <c r="J361" t="s">
        <v>43</v>
      </c>
      <c r="K361" t="s">
        <v>24</v>
      </c>
      <c r="L361">
        <v>30</v>
      </c>
      <c r="M361" t="str">
        <f t="shared" si="5"/>
        <v>Adolescent</v>
      </c>
      <c r="N361" t="s">
        <v>18</v>
      </c>
    </row>
    <row r="362" spans="1:14">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c r="A372">
        <v>17324</v>
      </c>
      <c r="B372" t="s">
        <v>32</v>
      </c>
      <c r="C372" t="s">
        <v>34</v>
      </c>
      <c r="D372" s="2">
        <v>100000</v>
      </c>
      <c r="E372">
        <v>4</v>
      </c>
      <c r="F372" t="s">
        <v>13</v>
      </c>
      <c r="G372" t="s">
        <v>21</v>
      </c>
      <c r="H372" t="s">
        <v>15</v>
      </c>
      <c r="I372">
        <v>1</v>
      </c>
      <c r="J372" t="s">
        <v>43</v>
      </c>
      <c r="K372" t="s">
        <v>24</v>
      </c>
      <c r="L372">
        <v>46</v>
      </c>
      <c r="M372" t="str">
        <f t="shared" si="5"/>
        <v>Middle Age</v>
      </c>
      <c r="N372" t="s">
        <v>18</v>
      </c>
    </row>
    <row r="373" spans="1:14">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c r="A382">
        <v>13620</v>
      </c>
      <c r="B382" t="s">
        <v>33</v>
      </c>
      <c r="C382" t="s">
        <v>35</v>
      </c>
      <c r="D382" s="2">
        <v>70000</v>
      </c>
      <c r="E382">
        <v>0</v>
      </c>
      <c r="F382" t="s">
        <v>13</v>
      </c>
      <c r="G382" t="s">
        <v>21</v>
      </c>
      <c r="H382" t="s">
        <v>18</v>
      </c>
      <c r="I382">
        <v>3</v>
      </c>
      <c r="J382" t="s">
        <v>43</v>
      </c>
      <c r="K382" t="s">
        <v>24</v>
      </c>
      <c r="L382">
        <v>30</v>
      </c>
      <c r="M382" t="str">
        <f t="shared" si="5"/>
        <v>Adolescent</v>
      </c>
      <c r="N382" t="s">
        <v>15</v>
      </c>
    </row>
    <row r="383" spans="1:14">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c r="A384">
        <v>13586</v>
      </c>
      <c r="B384" t="s">
        <v>32</v>
      </c>
      <c r="C384" t="s">
        <v>35</v>
      </c>
      <c r="D384" s="2">
        <v>80000</v>
      </c>
      <c r="E384">
        <v>4</v>
      </c>
      <c r="F384" t="s">
        <v>19</v>
      </c>
      <c r="G384" t="s">
        <v>21</v>
      </c>
      <c r="H384" t="s">
        <v>15</v>
      </c>
      <c r="I384">
        <v>2</v>
      </c>
      <c r="J384" t="s">
        <v>43</v>
      </c>
      <c r="K384" t="s">
        <v>17</v>
      </c>
      <c r="L384">
        <v>53</v>
      </c>
      <c r="M384" t="str">
        <f t="shared" si="5"/>
        <v>Middle Age</v>
      </c>
      <c r="N384" t="s">
        <v>18</v>
      </c>
    </row>
    <row r="385" spans="1:14">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c r="A387">
        <v>18018</v>
      </c>
      <c r="B387" t="s">
        <v>33</v>
      </c>
      <c r="C387" t="s">
        <v>35</v>
      </c>
      <c r="D387" s="2">
        <v>30000</v>
      </c>
      <c r="E387">
        <v>3</v>
      </c>
      <c r="F387" t="s">
        <v>19</v>
      </c>
      <c r="G387" t="s">
        <v>20</v>
      </c>
      <c r="H387" t="s">
        <v>15</v>
      </c>
      <c r="I387">
        <v>0</v>
      </c>
      <c r="J387" t="s">
        <v>16</v>
      </c>
      <c r="K387" t="s">
        <v>17</v>
      </c>
      <c r="L387">
        <v>43</v>
      </c>
      <c r="M387" t="str">
        <f t="shared" ref="M387:M450" si="6">IF(L387&gt;54, "Old", IF(L387&gt;=31,"Middle Age", IF(L387&lt;31,"Adolescent","Invalid")))</f>
        <v>Middle Age</v>
      </c>
      <c r="N387" t="s">
        <v>18</v>
      </c>
    </row>
    <row r="388" spans="1:14">
      <c r="A388">
        <v>28957</v>
      </c>
      <c r="B388" t="s">
        <v>33</v>
      </c>
      <c r="C388" t="s">
        <v>34</v>
      </c>
      <c r="D388" s="2">
        <v>120000</v>
      </c>
      <c r="E388">
        <v>0</v>
      </c>
      <c r="F388" t="s">
        <v>29</v>
      </c>
      <c r="G388" t="s">
        <v>21</v>
      </c>
      <c r="H388" t="s">
        <v>15</v>
      </c>
      <c r="I388">
        <v>4</v>
      </c>
      <c r="J388" t="s">
        <v>43</v>
      </c>
      <c r="K388" t="s">
        <v>24</v>
      </c>
      <c r="L388">
        <v>34</v>
      </c>
      <c r="M388" t="str">
        <f t="shared" si="6"/>
        <v>Middle Age</v>
      </c>
      <c r="N388" t="s">
        <v>15</v>
      </c>
    </row>
    <row r="389" spans="1:14">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c r="A402">
        <v>25792</v>
      </c>
      <c r="B402" t="s">
        <v>33</v>
      </c>
      <c r="C402" t="s">
        <v>34</v>
      </c>
      <c r="D402" s="2">
        <v>110000</v>
      </c>
      <c r="E402">
        <v>3</v>
      </c>
      <c r="F402" t="s">
        <v>13</v>
      </c>
      <c r="G402" t="s">
        <v>28</v>
      </c>
      <c r="H402" t="s">
        <v>15</v>
      </c>
      <c r="I402">
        <v>4</v>
      </c>
      <c r="J402" t="s">
        <v>43</v>
      </c>
      <c r="K402" t="s">
        <v>17</v>
      </c>
      <c r="L402">
        <v>53</v>
      </c>
      <c r="M402" t="str">
        <f t="shared" si="6"/>
        <v>Middle Age</v>
      </c>
      <c r="N402" t="s">
        <v>18</v>
      </c>
    </row>
    <row r="403" spans="1:14">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c r="A422">
        <v>18153</v>
      </c>
      <c r="B422" t="s">
        <v>32</v>
      </c>
      <c r="C422" t="s">
        <v>34</v>
      </c>
      <c r="D422" s="2">
        <v>100000</v>
      </c>
      <c r="E422">
        <v>2</v>
      </c>
      <c r="F422" t="s">
        <v>13</v>
      </c>
      <c r="G422" t="s">
        <v>28</v>
      </c>
      <c r="H422" t="s">
        <v>15</v>
      </c>
      <c r="I422">
        <v>4</v>
      </c>
      <c r="J422" t="s">
        <v>43</v>
      </c>
      <c r="K422" t="s">
        <v>17</v>
      </c>
      <c r="L422">
        <v>59</v>
      </c>
      <c r="M422" t="str">
        <f t="shared" si="6"/>
        <v>Old</v>
      </c>
      <c r="N422" t="s">
        <v>18</v>
      </c>
    </row>
    <row r="423" spans="1:14">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c r="A424">
        <v>24901</v>
      </c>
      <c r="B424" t="s">
        <v>33</v>
      </c>
      <c r="C424" t="s">
        <v>35</v>
      </c>
      <c r="D424" s="2">
        <v>110000</v>
      </c>
      <c r="E424">
        <v>0</v>
      </c>
      <c r="F424" t="s">
        <v>19</v>
      </c>
      <c r="G424" t="s">
        <v>28</v>
      </c>
      <c r="H424" t="s">
        <v>18</v>
      </c>
      <c r="I424">
        <v>3</v>
      </c>
      <c r="J424" t="s">
        <v>43</v>
      </c>
      <c r="K424" t="s">
        <v>24</v>
      </c>
      <c r="L424">
        <v>32</v>
      </c>
      <c r="M424" t="str">
        <f t="shared" si="6"/>
        <v>Middle Age</v>
      </c>
      <c r="N424" t="s">
        <v>15</v>
      </c>
    </row>
    <row r="425" spans="1:14">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c r="A434">
        <v>21891</v>
      </c>
      <c r="B434" t="s">
        <v>32</v>
      </c>
      <c r="C434" t="s">
        <v>34</v>
      </c>
      <c r="D434" s="2">
        <v>110000</v>
      </c>
      <c r="E434">
        <v>0</v>
      </c>
      <c r="F434" t="s">
        <v>27</v>
      </c>
      <c r="G434" t="s">
        <v>28</v>
      </c>
      <c r="H434" t="s">
        <v>15</v>
      </c>
      <c r="I434">
        <v>3</v>
      </c>
      <c r="J434" t="s">
        <v>43</v>
      </c>
      <c r="K434" t="s">
        <v>24</v>
      </c>
      <c r="L434">
        <v>34</v>
      </c>
      <c r="M434" t="str">
        <f t="shared" si="6"/>
        <v>Middle Age</v>
      </c>
      <c r="N434" t="s">
        <v>15</v>
      </c>
    </row>
    <row r="435" spans="1:14">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c r="A442">
        <v>21561</v>
      </c>
      <c r="B442" t="s">
        <v>33</v>
      </c>
      <c r="C442" t="s">
        <v>35</v>
      </c>
      <c r="D442" s="2">
        <v>90000</v>
      </c>
      <c r="E442">
        <v>0</v>
      </c>
      <c r="F442" t="s">
        <v>13</v>
      </c>
      <c r="G442" t="s">
        <v>21</v>
      </c>
      <c r="H442" t="s">
        <v>18</v>
      </c>
      <c r="I442">
        <v>3</v>
      </c>
      <c r="J442" t="s">
        <v>43</v>
      </c>
      <c r="K442" t="s">
        <v>24</v>
      </c>
      <c r="L442">
        <v>34</v>
      </c>
      <c r="M442" t="str">
        <f t="shared" si="6"/>
        <v>Middle Age</v>
      </c>
      <c r="N442" t="s">
        <v>15</v>
      </c>
    </row>
    <row r="443" spans="1:14">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c r="A448">
        <v>14278</v>
      </c>
      <c r="B448" t="s">
        <v>32</v>
      </c>
      <c r="C448" t="s">
        <v>34</v>
      </c>
      <c r="D448" s="2">
        <v>130000</v>
      </c>
      <c r="E448">
        <v>0</v>
      </c>
      <c r="F448" t="s">
        <v>30</v>
      </c>
      <c r="G448" t="s">
        <v>28</v>
      </c>
      <c r="H448" t="s">
        <v>15</v>
      </c>
      <c r="I448">
        <v>1</v>
      </c>
      <c r="J448" t="s">
        <v>43</v>
      </c>
      <c r="K448" t="s">
        <v>24</v>
      </c>
      <c r="L448">
        <v>48</v>
      </c>
      <c r="M448" t="str">
        <f t="shared" si="6"/>
        <v>Middle Age</v>
      </c>
      <c r="N448" t="s">
        <v>18</v>
      </c>
    </row>
    <row r="449" spans="1:14">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c r="A451">
        <v>12497</v>
      </c>
      <c r="B451" t="s">
        <v>32</v>
      </c>
      <c r="C451" t="s">
        <v>34</v>
      </c>
      <c r="D451" s="2">
        <v>40000</v>
      </c>
      <c r="E451">
        <v>1</v>
      </c>
      <c r="F451" t="s">
        <v>13</v>
      </c>
      <c r="G451" t="s">
        <v>14</v>
      </c>
      <c r="H451" t="s">
        <v>15</v>
      </c>
      <c r="I451">
        <v>0</v>
      </c>
      <c r="J451" t="s">
        <v>16</v>
      </c>
      <c r="K451" t="s">
        <v>17</v>
      </c>
      <c r="L451">
        <v>42</v>
      </c>
      <c r="M451" t="str">
        <f t="shared" ref="M451:M514" si="7">IF(L451&gt;54, "Old", IF(L451&gt;=31,"Middle Age", IF(L451&lt;31,"Adolescent","Invalid")))</f>
        <v>Middle Age</v>
      </c>
      <c r="N451" t="s">
        <v>18</v>
      </c>
    </row>
    <row r="452" spans="1:14">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c r="A460">
        <v>21560</v>
      </c>
      <c r="B460" t="s">
        <v>32</v>
      </c>
      <c r="C460" t="s">
        <v>35</v>
      </c>
      <c r="D460" s="2">
        <v>120000</v>
      </c>
      <c r="E460">
        <v>0</v>
      </c>
      <c r="F460" t="s">
        <v>29</v>
      </c>
      <c r="G460" t="s">
        <v>21</v>
      </c>
      <c r="H460" t="s">
        <v>15</v>
      </c>
      <c r="I460">
        <v>4</v>
      </c>
      <c r="J460" t="s">
        <v>43</v>
      </c>
      <c r="K460" t="s">
        <v>24</v>
      </c>
      <c r="L460">
        <v>32</v>
      </c>
      <c r="M460" t="str">
        <f t="shared" si="7"/>
        <v>Middle Age</v>
      </c>
      <c r="N460" t="s">
        <v>15</v>
      </c>
    </row>
    <row r="461" spans="1:14">
      <c r="A461">
        <v>21554</v>
      </c>
      <c r="B461" t="s">
        <v>33</v>
      </c>
      <c r="C461" t="s">
        <v>34</v>
      </c>
      <c r="D461" s="2">
        <v>80000</v>
      </c>
      <c r="E461">
        <v>0</v>
      </c>
      <c r="F461" t="s">
        <v>13</v>
      </c>
      <c r="G461" t="s">
        <v>21</v>
      </c>
      <c r="H461" t="s">
        <v>18</v>
      </c>
      <c r="I461">
        <v>3</v>
      </c>
      <c r="J461" t="s">
        <v>43</v>
      </c>
      <c r="K461" t="s">
        <v>24</v>
      </c>
      <c r="L461">
        <v>33</v>
      </c>
      <c r="M461" t="str">
        <f t="shared" si="7"/>
        <v>Middle Age</v>
      </c>
      <c r="N461" t="s">
        <v>18</v>
      </c>
    </row>
    <row r="462" spans="1:14">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c r="A488">
        <v>26415</v>
      </c>
      <c r="B488" t="s">
        <v>32</v>
      </c>
      <c r="C488" t="s">
        <v>34</v>
      </c>
      <c r="D488" s="2">
        <v>90000</v>
      </c>
      <c r="E488">
        <v>4</v>
      </c>
      <c r="F488" t="s">
        <v>29</v>
      </c>
      <c r="G488" t="s">
        <v>14</v>
      </c>
      <c r="H488" t="s">
        <v>15</v>
      </c>
      <c r="I488">
        <v>4</v>
      </c>
      <c r="J488" t="s">
        <v>43</v>
      </c>
      <c r="K488" t="s">
        <v>17</v>
      </c>
      <c r="L488">
        <v>58</v>
      </c>
      <c r="M488" t="str">
        <f t="shared" si="7"/>
        <v>Old</v>
      </c>
      <c r="N488" t="s">
        <v>18</v>
      </c>
    </row>
    <row r="489" spans="1:14">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c r="A495">
        <v>23707</v>
      </c>
      <c r="B495" t="s">
        <v>33</v>
      </c>
      <c r="C495" t="s">
        <v>35</v>
      </c>
      <c r="D495" s="2">
        <v>70000</v>
      </c>
      <c r="E495">
        <v>5</v>
      </c>
      <c r="F495" t="s">
        <v>13</v>
      </c>
      <c r="G495" t="s">
        <v>28</v>
      </c>
      <c r="H495" t="s">
        <v>15</v>
      </c>
      <c r="I495">
        <v>3</v>
      </c>
      <c r="J495" t="s">
        <v>43</v>
      </c>
      <c r="K495" t="s">
        <v>31</v>
      </c>
      <c r="L495">
        <v>60</v>
      </c>
      <c r="M495" t="str">
        <f t="shared" si="7"/>
        <v>Old</v>
      </c>
      <c r="N495" t="s">
        <v>15</v>
      </c>
    </row>
    <row r="496" spans="1:14">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c r="A497">
        <v>24981</v>
      </c>
      <c r="B497" t="s">
        <v>32</v>
      </c>
      <c r="C497" t="s">
        <v>35</v>
      </c>
      <c r="D497" s="2">
        <v>60000</v>
      </c>
      <c r="E497">
        <v>2</v>
      </c>
      <c r="F497" t="s">
        <v>19</v>
      </c>
      <c r="G497" t="s">
        <v>21</v>
      </c>
      <c r="H497" t="s">
        <v>15</v>
      </c>
      <c r="I497">
        <v>2</v>
      </c>
      <c r="J497" t="s">
        <v>43</v>
      </c>
      <c r="K497" t="s">
        <v>31</v>
      </c>
      <c r="L497">
        <v>56</v>
      </c>
      <c r="M497" t="str">
        <f t="shared" si="7"/>
        <v>Old</v>
      </c>
      <c r="N497" t="s">
        <v>18</v>
      </c>
    </row>
    <row r="498" spans="1:14">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c r="A515">
        <v>13353</v>
      </c>
      <c r="B515" t="s">
        <v>33</v>
      </c>
      <c r="C515" t="s">
        <v>34</v>
      </c>
      <c r="D515" s="2">
        <v>60000</v>
      </c>
      <c r="E515">
        <v>4</v>
      </c>
      <c r="F515" t="s">
        <v>30</v>
      </c>
      <c r="G515" t="s">
        <v>28</v>
      </c>
      <c r="H515" t="s">
        <v>15</v>
      </c>
      <c r="I515">
        <v>2</v>
      </c>
      <c r="J515" t="s">
        <v>43</v>
      </c>
      <c r="K515" t="s">
        <v>31</v>
      </c>
      <c r="L515">
        <v>61</v>
      </c>
      <c r="M515" t="str">
        <f t="shared" ref="M515:M578" si="8">IF(L515&gt;54, "Old", IF(L515&gt;=31,"Middle Age", IF(L515&lt;31,"Adolescent","Invalid")))</f>
        <v>Old</v>
      </c>
      <c r="N515" t="s">
        <v>15</v>
      </c>
    </row>
    <row r="516" spans="1:14">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c r="A523">
        <v>18976</v>
      </c>
      <c r="B523" t="s">
        <v>33</v>
      </c>
      <c r="C523" t="s">
        <v>35</v>
      </c>
      <c r="D523" s="2">
        <v>40000</v>
      </c>
      <c r="E523">
        <v>4</v>
      </c>
      <c r="F523" t="s">
        <v>27</v>
      </c>
      <c r="G523" t="s">
        <v>21</v>
      </c>
      <c r="H523" t="s">
        <v>15</v>
      </c>
      <c r="I523">
        <v>2</v>
      </c>
      <c r="J523" t="s">
        <v>43</v>
      </c>
      <c r="K523" t="s">
        <v>31</v>
      </c>
      <c r="L523">
        <v>62</v>
      </c>
      <c r="M523" t="str">
        <f t="shared" si="8"/>
        <v>Old</v>
      </c>
      <c r="N523" t="s">
        <v>15</v>
      </c>
    </row>
    <row r="524" spans="1:14">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c r="A527">
        <v>16791</v>
      </c>
      <c r="B527" t="s">
        <v>33</v>
      </c>
      <c r="C527" t="s">
        <v>35</v>
      </c>
      <c r="D527" s="2">
        <v>60000</v>
      </c>
      <c r="E527">
        <v>5</v>
      </c>
      <c r="F527" t="s">
        <v>13</v>
      </c>
      <c r="G527" t="s">
        <v>28</v>
      </c>
      <c r="H527" t="s">
        <v>15</v>
      </c>
      <c r="I527">
        <v>3</v>
      </c>
      <c r="J527" t="s">
        <v>43</v>
      </c>
      <c r="K527" t="s">
        <v>31</v>
      </c>
      <c r="L527">
        <v>59</v>
      </c>
      <c r="M527" t="str">
        <f t="shared" si="8"/>
        <v>Old</v>
      </c>
      <c r="N527" t="s">
        <v>15</v>
      </c>
    </row>
    <row r="528" spans="1:14">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c r="A531">
        <v>13233</v>
      </c>
      <c r="B531" t="s">
        <v>32</v>
      </c>
      <c r="C531" t="s">
        <v>35</v>
      </c>
      <c r="D531" s="2">
        <v>60000</v>
      </c>
      <c r="E531">
        <v>2</v>
      </c>
      <c r="F531" t="s">
        <v>19</v>
      </c>
      <c r="G531" t="s">
        <v>21</v>
      </c>
      <c r="H531" t="s">
        <v>15</v>
      </c>
      <c r="I531">
        <v>1</v>
      </c>
      <c r="J531" t="s">
        <v>43</v>
      </c>
      <c r="K531" t="s">
        <v>31</v>
      </c>
      <c r="L531">
        <v>57</v>
      </c>
      <c r="M531" t="str">
        <f t="shared" si="8"/>
        <v>Old</v>
      </c>
      <c r="N531" t="s">
        <v>15</v>
      </c>
    </row>
    <row r="532" spans="1:14">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c r="A535">
        <v>24941</v>
      </c>
      <c r="B535" t="s">
        <v>32</v>
      </c>
      <c r="C535" t="s">
        <v>35</v>
      </c>
      <c r="D535" s="2">
        <v>60000</v>
      </c>
      <c r="E535">
        <v>3</v>
      </c>
      <c r="F535" t="s">
        <v>13</v>
      </c>
      <c r="G535" t="s">
        <v>28</v>
      </c>
      <c r="H535" t="s">
        <v>15</v>
      </c>
      <c r="I535">
        <v>2</v>
      </c>
      <c r="J535" t="s">
        <v>43</v>
      </c>
      <c r="K535" t="s">
        <v>31</v>
      </c>
      <c r="L535">
        <v>66</v>
      </c>
      <c r="M535" t="str">
        <f t="shared" si="8"/>
        <v>Old</v>
      </c>
      <c r="N535" t="s">
        <v>18</v>
      </c>
    </row>
    <row r="536" spans="1:14">
      <c r="A536">
        <v>24637</v>
      </c>
      <c r="B536" t="s">
        <v>32</v>
      </c>
      <c r="C536" t="s">
        <v>35</v>
      </c>
      <c r="D536" s="2">
        <v>40000</v>
      </c>
      <c r="E536">
        <v>4</v>
      </c>
      <c r="F536" t="s">
        <v>27</v>
      </c>
      <c r="G536" t="s">
        <v>21</v>
      </c>
      <c r="H536" t="s">
        <v>15</v>
      </c>
      <c r="I536">
        <v>2</v>
      </c>
      <c r="J536" t="s">
        <v>43</v>
      </c>
      <c r="K536" t="s">
        <v>31</v>
      </c>
      <c r="L536">
        <v>64</v>
      </c>
      <c r="M536" t="str">
        <f t="shared" si="8"/>
        <v>Old</v>
      </c>
      <c r="N536" t="s">
        <v>18</v>
      </c>
    </row>
    <row r="537" spans="1:14">
      <c r="A537">
        <v>23893</v>
      </c>
      <c r="B537" t="s">
        <v>32</v>
      </c>
      <c r="C537" t="s">
        <v>35</v>
      </c>
      <c r="D537" s="2">
        <v>50000</v>
      </c>
      <c r="E537">
        <v>3</v>
      </c>
      <c r="F537" t="s">
        <v>13</v>
      </c>
      <c r="G537" t="s">
        <v>14</v>
      </c>
      <c r="H537" t="s">
        <v>15</v>
      </c>
      <c r="I537">
        <v>3</v>
      </c>
      <c r="J537" t="s">
        <v>43</v>
      </c>
      <c r="K537" t="s">
        <v>31</v>
      </c>
      <c r="L537">
        <v>41</v>
      </c>
      <c r="M537" t="str">
        <f t="shared" si="8"/>
        <v>Middle Age</v>
      </c>
      <c r="N537" t="s">
        <v>18</v>
      </c>
    </row>
    <row r="538" spans="1:14">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c r="A553">
        <v>27393</v>
      </c>
      <c r="B553" t="s">
        <v>32</v>
      </c>
      <c r="C553" t="s">
        <v>34</v>
      </c>
      <c r="D553" s="2">
        <v>50000</v>
      </c>
      <c r="E553">
        <v>4</v>
      </c>
      <c r="F553" t="s">
        <v>13</v>
      </c>
      <c r="G553" t="s">
        <v>28</v>
      </c>
      <c r="H553" t="s">
        <v>15</v>
      </c>
      <c r="I553">
        <v>2</v>
      </c>
      <c r="J553" t="s">
        <v>43</v>
      </c>
      <c r="K553" t="s">
        <v>31</v>
      </c>
      <c r="L553">
        <v>63</v>
      </c>
      <c r="M553" t="str">
        <f t="shared" si="8"/>
        <v>Old</v>
      </c>
      <c r="N553" t="s">
        <v>18</v>
      </c>
    </row>
    <row r="554" spans="1:14">
      <c r="A554">
        <v>14417</v>
      </c>
      <c r="B554" t="s">
        <v>33</v>
      </c>
      <c r="C554" t="s">
        <v>35</v>
      </c>
      <c r="D554" s="2">
        <v>60000</v>
      </c>
      <c r="E554">
        <v>3</v>
      </c>
      <c r="F554" t="s">
        <v>27</v>
      </c>
      <c r="G554" t="s">
        <v>21</v>
      </c>
      <c r="H554" t="s">
        <v>15</v>
      </c>
      <c r="I554">
        <v>2</v>
      </c>
      <c r="J554" t="s">
        <v>43</v>
      </c>
      <c r="K554" t="s">
        <v>31</v>
      </c>
      <c r="L554">
        <v>54</v>
      </c>
      <c r="M554" t="str">
        <f t="shared" si="8"/>
        <v>Middle Age</v>
      </c>
      <c r="N554" t="s">
        <v>15</v>
      </c>
    </row>
    <row r="555" spans="1:14">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c r="A561">
        <v>15895</v>
      </c>
      <c r="B561" t="s">
        <v>33</v>
      </c>
      <c r="C561" t="s">
        <v>34</v>
      </c>
      <c r="D561" s="2">
        <v>60000</v>
      </c>
      <c r="E561">
        <v>2</v>
      </c>
      <c r="F561" t="s">
        <v>13</v>
      </c>
      <c r="G561" t="s">
        <v>28</v>
      </c>
      <c r="H561" t="s">
        <v>15</v>
      </c>
      <c r="I561">
        <v>0</v>
      </c>
      <c r="J561" t="s">
        <v>43</v>
      </c>
      <c r="K561" t="s">
        <v>31</v>
      </c>
      <c r="L561">
        <v>58</v>
      </c>
      <c r="M561" t="str">
        <f t="shared" si="8"/>
        <v>Old</v>
      </c>
      <c r="N561" t="s">
        <v>18</v>
      </c>
    </row>
    <row r="562" spans="1:14">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c r="A571">
        <v>26452</v>
      </c>
      <c r="B571" t="s">
        <v>33</v>
      </c>
      <c r="C571" t="s">
        <v>35</v>
      </c>
      <c r="D571" s="2">
        <v>50000</v>
      </c>
      <c r="E571">
        <v>3</v>
      </c>
      <c r="F571" t="s">
        <v>30</v>
      </c>
      <c r="G571" t="s">
        <v>28</v>
      </c>
      <c r="H571" t="s">
        <v>15</v>
      </c>
      <c r="I571">
        <v>2</v>
      </c>
      <c r="J571" t="s">
        <v>43</v>
      </c>
      <c r="K571" t="s">
        <v>31</v>
      </c>
      <c r="L571">
        <v>69</v>
      </c>
      <c r="M571" t="str">
        <f t="shared" si="8"/>
        <v>Old</v>
      </c>
      <c r="N571" t="s">
        <v>18</v>
      </c>
    </row>
    <row r="572" spans="1:14">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c r="A577">
        <v>13388</v>
      </c>
      <c r="B577" t="s">
        <v>33</v>
      </c>
      <c r="C577" t="s">
        <v>35</v>
      </c>
      <c r="D577" s="2">
        <v>60000</v>
      </c>
      <c r="E577">
        <v>2</v>
      </c>
      <c r="F577" t="s">
        <v>19</v>
      </c>
      <c r="G577" t="s">
        <v>21</v>
      </c>
      <c r="H577" t="s">
        <v>15</v>
      </c>
      <c r="I577">
        <v>1</v>
      </c>
      <c r="J577" t="s">
        <v>43</v>
      </c>
      <c r="K577" t="s">
        <v>31</v>
      </c>
      <c r="L577">
        <v>56</v>
      </c>
      <c r="M577" t="str">
        <f t="shared" si="8"/>
        <v>Old</v>
      </c>
      <c r="N577" t="s">
        <v>18</v>
      </c>
    </row>
    <row r="578" spans="1:14">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c r="A579">
        <v>16917</v>
      </c>
      <c r="B579" t="s">
        <v>32</v>
      </c>
      <c r="C579" t="s">
        <v>35</v>
      </c>
      <c r="D579" s="2">
        <v>120000</v>
      </c>
      <c r="E579">
        <v>1</v>
      </c>
      <c r="F579" t="s">
        <v>13</v>
      </c>
      <c r="G579" t="s">
        <v>28</v>
      </c>
      <c r="H579" t="s">
        <v>15</v>
      </c>
      <c r="I579">
        <v>4</v>
      </c>
      <c r="J579" t="s">
        <v>16</v>
      </c>
      <c r="K579" t="s">
        <v>31</v>
      </c>
      <c r="L579">
        <v>38</v>
      </c>
      <c r="M579" t="str">
        <f t="shared" ref="M579:M642" si="9">IF(L579&gt;54, "Old", IF(L579&gt;=31,"Middle Age", IF(L579&lt;31,"Adolescent","Invalid")))</f>
        <v>Middle Age</v>
      </c>
      <c r="N579" t="s">
        <v>18</v>
      </c>
    </row>
    <row r="580" spans="1:14">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c r="A582">
        <v>20380</v>
      </c>
      <c r="B582" t="s">
        <v>32</v>
      </c>
      <c r="C582" t="s">
        <v>34</v>
      </c>
      <c r="D582" s="2">
        <v>60000</v>
      </c>
      <c r="E582">
        <v>3</v>
      </c>
      <c r="F582" t="s">
        <v>30</v>
      </c>
      <c r="G582" t="s">
        <v>28</v>
      </c>
      <c r="H582" t="s">
        <v>15</v>
      </c>
      <c r="I582">
        <v>2</v>
      </c>
      <c r="J582" t="s">
        <v>43</v>
      </c>
      <c r="K582" t="s">
        <v>31</v>
      </c>
      <c r="L582">
        <v>69</v>
      </c>
      <c r="M582" t="str">
        <f t="shared" si="9"/>
        <v>Old</v>
      </c>
      <c r="N582" t="s">
        <v>18</v>
      </c>
    </row>
    <row r="583" spans="1:14">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c r="A585">
        <v>24943</v>
      </c>
      <c r="B585" t="s">
        <v>32</v>
      </c>
      <c r="C585" t="s">
        <v>35</v>
      </c>
      <c r="D585" s="2">
        <v>60000</v>
      </c>
      <c r="E585">
        <v>3</v>
      </c>
      <c r="F585" t="s">
        <v>13</v>
      </c>
      <c r="G585" t="s">
        <v>28</v>
      </c>
      <c r="H585" t="s">
        <v>15</v>
      </c>
      <c r="I585">
        <v>2</v>
      </c>
      <c r="J585" t="s">
        <v>43</v>
      </c>
      <c r="K585" t="s">
        <v>31</v>
      </c>
      <c r="L585">
        <v>66</v>
      </c>
      <c r="M585" t="str">
        <f t="shared" si="9"/>
        <v>Old</v>
      </c>
      <c r="N585" t="s">
        <v>18</v>
      </c>
    </row>
    <row r="586" spans="1:14">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c r="A590">
        <v>16871</v>
      </c>
      <c r="B590" t="s">
        <v>32</v>
      </c>
      <c r="C590" t="s">
        <v>34</v>
      </c>
      <c r="D590" s="2">
        <v>90000</v>
      </c>
      <c r="E590">
        <v>2</v>
      </c>
      <c r="F590" t="s">
        <v>27</v>
      </c>
      <c r="G590" t="s">
        <v>21</v>
      </c>
      <c r="H590" t="s">
        <v>15</v>
      </c>
      <c r="I590">
        <v>1</v>
      </c>
      <c r="J590" t="s">
        <v>43</v>
      </c>
      <c r="K590" t="s">
        <v>31</v>
      </c>
      <c r="L590">
        <v>51</v>
      </c>
      <c r="M590" t="str">
        <f t="shared" si="9"/>
        <v>Middle Age</v>
      </c>
      <c r="N590" t="s">
        <v>15</v>
      </c>
    </row>
    <row r="591" spans="1:14">
      <c r="A591">
        <v>12100</v>
      </c>
      <c r="B591" t="s">
        <v>33</v>
      </c>
      <c r="C591" t="s">
        <v>35</v>
      </c>
      <c r="D591" s="2">
        <v>60000</v>
      </c>
      <c r="E591">
        <v>2</v>
      </c>
      <c r="F591" t="s">
        <v>13</v>
      </c>
      <c r="G591" t="s">
        <v>28</v>
      </c>
      <c r="H591" t="s">
        <v>15</v>
      </c>
      <c r="I591">
        <v>0</v>
      </c>
      <c r="J591" t="s">
        <v>43</v>
      </c>
      <c r="K591" t="s">
        <v>31</v>
      </c>
      <c r="L591">
        <v>57</v>
      </c>
      <c r="M591" t="str">
        <f t="shared" si="9"/>
        <v>Old</v>
      </c>
      <c r="N591" t="s">
        <v>18</v>
      </c>
    </row>
    <row r="592" spans="1:14">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c r="A593">
        <v>18545</v>
      </c>
      <c r="B593" t="s">
        <v>32</v>
      </c>
      <c r="C593" t="s">
        <v>35</v>
      </c>
      <c r="D593" s="2">
        <v>40000</v>
      </c>
      <c r="E593">
        <v>4</v>
      </c>
      <c r="F593" t="s">
        <v>27</v>
      </c>
      <c r="G593" t="s">
        <v>21</v>
      </c>
      <c r="H593" t="s">
        <v>18</v>
      </c>
      <c r="I593">
        <v>2</v>
      </c>
      <c r="J593" t="s">
        <v>43</v>
      </c>
      <c r="K593" t="s">
        <v>31</v>
      </c>
      <c r="L593">
        <v>61</v>
      </c>
      <c r="M593" t="str">
        <f t="shared" si="9"/>
        <v>Old</v>
      </c>
      <c r="N593" t="s">
        <v>15</v>
      </c>
    </row>
    <row r="594" spans="1:14">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c r="A609">
        <v>16145</v>
      </c>
      <c r="B609" t="s">
        <v>33</v>
      </c>
      <c r="C609" t="s">
        <v>34</v>
      </c>
      <c r="D609" s="2">
        <v>70000</v>
      </c>
      <c r="E609">
        <v>5</v>
      </c>
      <c r="F609" t="s">
        <v>30</v>
      </c>
      <c r="G609" t="s">
        <v>21</v>
      </c>
      <c r="H609" t="s">
        <v>15</v>
      </c>
      <c r="I609">
        <v>3</v>
      </c>
      <c r="J609" t="s">
        <v>43</v>
      </c>
      <c r="K609" t="s">
        <v>31</v>
      </c>
      <c r="L609">
        <v>46</v>
      </c>
      <c r="M609" t="str">
        <f t="shared" si="9"/>
        <v>Middle Age</v>
      </c>
      <c r="N609" t="s">
        <v>15</v>
      </c>
    </row>
    <row r="610" spans="1:14">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c r="A643">
        <v>21441</v>
      </c>
      <c r="B643" t="s">
        <v>32</v>
      </c>
      <c r="C643" t="s">
        <v>35</v>
      </c>
      <c r="D643" s="2">
        <v>50000</v>
      </c>
      <c r="E643">
        <v>4</v>
      </c>
      <c r="F643" t="s">
        <v>13</v>
      </c>
      <c r="G643" t="s">
        <v>28</v>
      </c>
      <c r="H643" t="s">
        <v>15</v>
      </c>
      <c r="I643">
        <v>2</v>
      </c>
      <c r="J643" t="s">
        <v>43</v>
      </c>
      <c r="K643" t="s">
        <v>31</v>
      </c>
      <c r="L643">
        <v>64</v>
      </c>
      <c r="M643" t="str">
        <f t="shared" ref="M643:M706" si="10">IF(L643&gt;54, "Old", IF(L643&gt;=31,"Middle Age", IF(L643&lt;31,"Adolescent","Invalid")))</f>
        <v>Old</v>
      </c>
      <c r="N643" t="s">
        <v>18</v>
      </c>
    </row>
    <row r="644" spans="1:14">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c r="A646">
        <v>23368</v>
      </c>
      <c r="B646" t="s">
        <v>32</v>
      </c>
      <c r="C646" t="s">
        <v>34</v>
      </c>
      <c r="D646" s="2">
        <v>60000</v>
      </c>
      <c r="E646">
        <v>5</v>
      </c>
      <c r="F646" t="s">
        <v>13</v>
      </c>
      <c r="G646" t="s">
        <v>14</v>
      </c>
      <c r="H646" t="s">
        <v>15</v>
      </c>
      <c r="I646">
        <v>3</v>
      </c>
      <c r="J646" t="s">
        <v>43</v>
      </c>
      <c r="K646" t="s">
        <v>31</v>
      </c>
      <c r="L646">
        <v>41</v>
      </c>
      <c r="M646" t="str">
        <f t="shared" si="10"/>
        <v>Middle Age</v>
      </c>
      <c r="N646" t="s">
        <v>18</v>
      </c>
    </row>
    <row r="647" spans="1:14">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c r="A652">
        <v>18435</v>
      </c>
      <c r="B652" t="s">
        <v>33</v>
      </c>
      <c r="C652" t="s">
        <v>34</v>
      </c>
      <c r="D652" s="2">
        <v>70000</v>
      </c>
      <c r="E652">
        <v>5</v>
      </c>
      <c r="F652" t="s">
        <v>30</v>
      </c>
      <c r="G652" t="s">
        <v>28</v>
      </c>
      <c r="H652" t="s">
        <v>15</v>
      </c>
      <c r="I652">
        <v>2</v>
      </c>
      <c r="J652" t="s">
        <v>43</v>
      </c>
      <c r="K652" t="s">
        <v>31</v>
      </c>
      <c r="L652">
        <v>67</v>
      </c>
      <c r="M652" t="str">
        <f t="shared" si="10"/>
        <v>Old</v>
      </c>
      <c r="N652" t="s">
        <v>15</v>
      </c>
    </row>
    <row r="653" spans="1:14">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c r="A661">
        <v>24643</v>
      </c>
      <c r="B661" t="s">
        <v>33</v>
      </c>
      <c r="C661" t="s">
        <v>34</v>
      </c>
      <c r="D661" s="2">
        <v>60000</v>
      </c>
      <c r="E661">
        <v>4</v>
      </c>
      <c r="F661" t="s">
        <v>13</v>
      </c>
      <c r="G661" t="s">
        <v>28</v>
      </c>
      <c r="H661" t="s">
        <v>15</v>
      </c>
      <c r="I661">
        <v>2</v>
      </c>
      <c r="J661" t="s">
        <v>43</v>
      </c>
      <c r="K661" t="s">
        <v>31</v>
      </c>
      <c r="L661">
        <v>63</v>
      </c>
      <c r="M661" t="str">
        <f t="shared" si="10"/>
        <v>Old</v>
      </c>
      <c r="N661" t="s">
        <v>18</v>
      </c>
    </row>
    <row r="662" spans="1:14">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c r="A669">
        <v>20505</v>
      </c>
      <c r="B669" t="s">
        <v>32</v>
      </c>
      <c r="C669" t="s">
        <v>34</v>
      </c>
      <c r="D669" s="2">
        <v>40000</v>
      </c>
      <c r="E669">
        <v>5</v>
      </c>
      <c r="F669" t="s">
        <v>27</v>
      </c>
      <c r="G669" t="s">
        <v>21</v>
      </c>
      <c r="H669" t="s">
        <v>18</v>
      </c>
      <c r="I669">
        <v>2</v>
      </c>
      <c r="J669" t="s">
        <v>43</v>
      </c>
      <c r="K669" t="s">
        <v>31</v>
      </c>
      <c r="L669">
        <v>61</v>
      </c>
      <c r="M669" t="str">
        <f t="shared" si="10"/>
        <v>Old</v>
      </c>
      <c r="N669" t="s">
        <v>18</v>
      </c>
    </row>
    <row r="670" spans="1:14">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c r="A672">
        <v>21471</v>
      </c>
      <c r="B672" t="s">
        <v>32</v>
      </c>
      <c r="C672" t="s">
        <v>35</v>
      </c>
      <c r="D672" s="2">
        <v>70000</v>
      </c>
      <c r="E672">
        <v>2</v>
      </c>
      <c r="F672" t="s">
        <v>19</v>
      </c>
      <c r="G672" t="s">
        <v>21</v>
      </c>
      <c r="H672" t="s">
        <v>15</v>
      </c>
      <c r="I672">
        <v>1</v>
      </c>
      <c r="J672" t="s">
        <v>43</v>
      </c>
      <c r="K672" t="s">
        <v>31</v>
      </c>
      <c r="L672">
        <v>59</v>
      </c>
      <c r="M672" t="str">
        <f t="shared" si="10"/>
        <v>Old</v>
      </c>
      <c r="N672" t="s">
        <v>18</v>
      </c>
    </row>
    <row r="673" spans="1:14">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c r="A681">
        <v>21770</v>
      </c>
      <c r="B681" t="s">
        <v>32</v>
      </c>
      <c r="C681" t="s">
        <v>35</v>
      </c>
      <c r="D681" s="2">
        <v>60000</v>
      </c>
      <c r="E681">
        <v>4</v>
      </c>
      <c r="F681" t="s">
        <v>13</v>
      </c>
      <c r="G681" t="s">
        <v>28</v>
      </c>
      <c r="H681" t="s">
        <v>15</v>
      </c>
      <c r="I681">
        <v>2</v>
      </c>
      <c r="J681" t="s">
        <v>43</v>
      </c>
      <c r="K681" t="s">
        <v>31</v>
      </c>
      <c r="L681">
        <v>60</v>
      </c>
      <c r="M681" t="str">
        <f t="shared" si="10"/>
        <v>Old</v>
      </c>
      <c r="N681" t="s">
        <v>18</v>
      </c>
    </row>
    <row r="682" spans="1:14">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c r="A707">
        <v>11199</v>
      </c>
      <c r="B707" t="s">
        <v>32</v>
      </c>
      <c r="C707" t="s">
        <v>34</v>
      </c>
      <c r="D707" s="2">
        <v>70000</v>
      </c>
      <c r="E707">
        <v>4</v>
      </c>
      <c r="F707" t="s">
        <v>13</v>
      </c>
      <c r="G707" t="s">
        <v>28</v>
      </c>
      <c r="H707" t="s">
        <v>15</v>
      </c>
      <c r="I707">
        <v>1</v>
      </c>
      <c r="J707" t="s">
        <v>43</v>
      </c>
      <c r="K707" t="s">
        <v>31</v>
      </c>
      <c r="L707">
        <v>59</v>
      </c>
      <c r="M707" t="str">
        <f t="shared" ref="M707:M770" si="11">IF(L707&gt;54, "Old", IF(L707&gt;=31,"Middle Age", IF(L707&lt;31,"Adolescent","Invalid")))</f>
        <v>Old</v>
      </c>
      <c r="N707" t="s">
        <v>18</v>
      </c>
    </row>
    <row r="708" spans="1:14">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c r="A710">
        <v>18069</v>
      </c>
      <c r="B710" t="s">
        <v>32</v>
      </c>
      <c r="C710" t="s">
        <v>35</v>
      </c>
      <c r="D710" s="2">
        <v>70000</v>
      </c>
      <c r="E710">
        <v>5</v>
      </c>
      <c r="F710" t="s">
        <v>13</v>
      </c>
      <c r="G710" t="s">
        <v>28</v>
      </c>
      <c r="H710" t="s">
        <v>15</v>
      </c>
      <c r="I710">
        <v>4</v>
      </c>
      <c r="J710" t="s">
        <v>43</v>
      </c>
      <c r="K710" t="s">
        <v>31</v>
      </c>
      <c r="L710">
        <v>60</v>
      </c>
      <c r="M710" t="str">
        <f t="shared" si="11"/>
        <v>Old</v>
      </c>
      <c r="N710" t="s">
        <v>18</v>
      </c>
    </row>
    <row r="711" spans="1:14">
      <c r="A711">
        <v>23712</v>
      </c>
      <c r="B711" t="s">
        <v>33</v>
      </c>
      <c r="C711" t="s">
        <v>34</v>
      </c>
      <c r="D711" s="2">
        <v>70000</v>
      </c>
      <c r="E711">
        <v>2</v>
      </c>
      <c r="F711" t="s">
        <v>13</v>
      </c>
      <c r="G711" t="s">
        <v>28</v>
      </c>
      <c r="H711" t="s">
        <v>15</v>
      </c>
      <c r="I711">
        <v>1</v>
      </c>
      <c r="J711" t="s">
        <v>43</v>
      </c>
      <c r="K711" t="s">
        <v>31</v>
      </c>
      <c r="L711">
        <v>59</v>
      </c>
      <c r="M711" t="str">
        <f t="shared" si="11"/>
        <v>Old</v>
      </c>
      <c r="N711" t="s">
        <v>18</v>
      </c>
    </row>
    <row r="712" spans="1:14">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c r="A713">
        <v>20518</v>
      </c>
      <c r="B713" t="s">
        <v>32</v>
      </c>
      <c r="C713" t="s">
        <v>34</v>
      </c>
      <c r="D713" s="2">
        <v>70000</v>
      </c>
      <c r="E713">
        <v>2</v>
      </c>
      <c r="F713" t="s">
        <v>19</v>
      </c>
      <c r="G713" t="s">
        <v>21</v>
      </c>
      <c r="H713" t="s">
        <v>15</v>
      </c>
      <c r="I713">
        <v>1</v>
      </c>
      <c r="J713" t="s">
        <v>43</v>
      </c>
      <c r="K713" t="s">
        <v>31</v>
      </c>
      <c r="L713">
        <v>58</v>
      </c>
      <c r="M713" t="str">
        <f t="shared" si="11"/>
        <v>Old</v>
      </c>
      <c r="N713" t="s">
        <v>18</v>
      </c>
    </row>
    <row r="714" spans="1:14">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c r="A741">
        <v>11225</v>
      </c>
      <c r="B741" t="s">
        <v>32</v>
      </c>
      <c r="C741" t="s">
        <v>34</v>
      </c>
      <c r="D741" s="2">
        <v>60000</v>
      </c>
      <c r="E741">
        <v>2</v>
      </c>
      <c r="F741" t="s">
        <v>19</v>
      </c>
      <c r="G741" t="s">
        <v>21</v>
      </c>
      <c r="H741" t="s">
        <v>15</v>
      </c>
      <c r="I741">
        <v>1</v>
      </c>
      <c r="J741" t="s">
        <v>43</v>
      </c>
      <c r="K741" t="s">
        <v>31</v>
      </c>
      <c r="L741">
        <v>55</v>
      </c>
      <c r="M741" t="str">
        <f t="shared" si="11"/>
        <v>Old</v>
      </c>
      <c r="N741" t="s">
        <v>18</v>
      </c>
    </row>
    <row r="742" spans="1:14">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c r="A746">
        <v>20535</v>
      </c>
      <c r="B746" t="s">
        <v>32</v>
      </c>
      <c r="C746" t="s">
        <v>34</v>
      </c>
      <c r="D746" s="2">
        <v>70000</v>
      </c>
      <c r="E746">
        <v>4</v>
      </c>
      <c r="F746" t="s">
        <v>19</v>
      </c>
      <c r="G746" t="s">
        <v>21</v>
      </c>
      <c r="H746" t="s">
        <v>15</v>
      </c>
      <c r="I746">
        <v>1</v>
      </c>
      <c r="J746" t="s">
        <v>43</v>
      </c>
      <c r="K746" t="s">
        <v>31</v>
      </c>
      <c r="L746">
        <v>56</v>
      </c>
      <c r="M746" t="str">
        <f t="shared" si="11"/>
        <v>Old</v>
      </c>
      <c r="N746" t="s">
        <v>18</v>
      </c>
    </row>
    <row r="747" spans="1:14">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c r="A748">
        <v>28043</v>
      </c>
      <c r="B748" t="s">
        <v>32</v>
      </c>
      <c r="C748" t="s">
        <v>34</v>
      </c>
      <c r="D748" s="2">
        <v>60000</v>
      </c>
      <c r="E748">
        <v>2</v>
      </c>
      <c r="F748" t="s">
        <v>13</v>
      </c>
      <c r="G748" t="s">
        <v>28</v>
      </c>
      <c r="H748" t="s">
        <v>15</v>
      </c>
      <c r="I748">
        <v>0</v>
      </c>
      <c r="J748" t="s">
        <v>43</v>
      </c>
      <c r="K748" t="s">
        <v>31</v>
      </c>
      <c r="L748">
        <v>56</v>
      </c>
      <c r="M748" t="str">
        <f t="shared" si="11"/>
        <v>Old</v>
      </c>
      <c r="N748" t="s">
        <v>18</v>
      </c>
    </row>
    <row r="749" spans="1:14">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c r="A763">
        <v>13216</v>
      </c>
      <c r="B763" t="s">
        <v>32</v>
      </c>
      <c r="C763" t="s">
        <v>34</v>
      </c>
      <c r="D763" s="2">
        <v>60000</v>
      </c>
      <c r="E763">
        <v>5</v>
      </c>
      <c r="F763" t="s">
        <v>13</v>
      </c>
      <c r="G763" t="s">
        <v>28</v>
      </c>
      <c r="H763" t="s">
        <v>15</v>
      </c>
      <c r="I763">
        <v>3</v>
      </c>
      <c r="J763" t="s">
        <v>43</v>
      </c>
      <c r="K763" t="s">
        <v>31</v>
      </c>
      <c r="L763">
        <v>59</v>
      </c>
      <c r="M763" t="str">
        <f t="shared" si="11"/>
        <v>Old</v>
      </c>
      <c r="N763" t="s">
        <v>18</v>
      </c>
    </row>
    <row r="764" spans="1:14">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c r="A768">
        <v>14608</v>
      </c>
      <c r="B768" t="s">
        <v>32</v>
      </c>
      <c r="C768" t="s">
        <v>35</v>
      </c>
      <c r="D768" s="2">
        <v>50000</v>
      </c>
      <c r="E768">
        <v>4</v>
      </c>
      <c r="F768" t="s">
        <v>13</v>
      </c>
      <c r="G768" t="s">
        <v>14</v>
      </c>
      <c r="H768" t="s">
        <v>15</v>
      </c>
      <c r="I768">
        <v>3</v>
      </c>
      <c r="J768" t="s">
        <v>43</v>
      </c>
      <c r="K768" t="s">
        <v>31</v>
      </c>
      <c r="L768">
        <v>42</v>
      </c>
      <c r="M768" t="str">
        <f t="shared" si="11"/>
        <v>Middle Age</v>
      </c>
      <c r="N768" t="s">
        <v>18</v>
      </c>
    </row>
    <row r="769" spans="1:14">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c r="A771">
        <v>18952</v>
      </c>
      <c r="B771" t="s">
        <v>32</v>
      </c>
      <c r="C771" t="s">
        <v>34</v>
      </c>
      <c r="D771" s="2">
        <v>100000</v>
      </c>
      <c r="E771">
        <v>4</v>
      </c>
      <c r="F771" t="s">
        <v>13</v>
      </c>
      <c r="G771" t="s">
        <v>28</v>
      </c>
      <c r="H771" t="s">
        <v>15</v>
      </c>
      <c r="I771">
        <v>4</v>
      </c>
      <c r="J771" t="s">
        <v>16</v>
      </c>
      <c r="K771" t="s">
        <v>31</v>
      </c>
      <c r="L771">
        <v>40</v>
      </c>
      <c r="M771" t="str">
        <f t="shared" ref="M771:M834" si="12">IF(L771&gt;54, "Old", IF(L771&gt;=31,"Middle Age", IF(L771&lt;31,"Adolescent","Invalid")))</f>
        <v>Middle Age</v>
      </c>
      <c r="N771" t="s">
        <v>18</v>
      </c>
    </row>
    <row r="772" spans="1:14">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c r="A777">
        <v>29030</v>
      </c>
      <c r="B777" t="s">
        <v>32</v>
      </c>
      <c r="C777" t="s">
        <v>35</v>
      </c>
      <c r="D777" s="2">
        <v>70000</v>
      </c>
      <c r="E777">
        <v>2</v>
      </c>
      <c r="F777" t="s">
        <v>29</v>
      </c>
      <c r="G777" t="s">
        <v>14</v>
      </c>
      <c r="H777" t="s">
        <v>15</v>
      </c>
      <c r="I777">
        <v>2</v>
      </c>
      <c r="J777" t="s">
        <v>43</v>
      </c>
      <c r="K777" t="s">
        <v>31</v>
      </c>
      <c r="L777">
        <v>54</v>
      </c>
      <c r="M777" t="str">
        <f t="shared" si="12"/>
        <v>Middle Age</v>
      </c>
      <c r="N777" t="s">
        <v>18</v>
      </c>
    </row>
    <row r="778" spans="1:14">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c r="A782">
        <v>18105</v>
      </c>
      <c r="B782" t="s">
        <v>32</v>
      </c>
      <c r="C782" t="s">
        <v>34</v>
      </c>
      <c r="D782" s="2">
        <v>60000</v>
      </c>
      <c r="E782">
        <v>2</v>
      </c>
      <c r="F782" t="s">
        <v>19</v>
      </c>
      <c r="G782" t="s">
        <v>21</v>
      </c>
      <c r="H782" t="s">
        <v>15</v>
      </c>
      <c r="I782">
        <v>1</v>
      </c>
      <c r="J782" t="s">
        <v>43</v>
      </c>
      <c r="K782" t="s">
        <v>31</v>
      </c>
      <c r="L782">
        <v>55</v>
      </c>
      <c r="M782" t="str">
        <f t="shared" si="12"/>
        <v>Old</v>
      </c>
      <c r="N782" t="s">
        <v>18</v>
      </c>
    </row>
    <row r="783" spans="1:14">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c r="A814">
        <v>15749</v>
      </c>
      <c r="B814" t="s">
        <v>33</v>
      </c>
      <c r="C814" t="s">
        <v>34</v>
      </c>
      <c r="D814" s="2">
        <v>70000</v>
      </c>
      <c r="E814">
        <v>4</v>
      </c>
      <c r="F814" t="s">
        <v>13</v>
      </c>
      <c r="G814" t="s">
        <v>28</v>
      </c>
      <c r="H814" t="s">
        <v>15</v>
      </c>
      <c r="I814">
        <v>2</v>
      </c>
      <c r="J814" t="s">
        <v>43</v>
      </c>
      <c r="K814" t="s">
        <v>31</v>
      </c>
      <c r="L814">
        <v>61</v>
      </c>
      <c r="M814" t="str">
        <f t="shared" si="12"/>
        <v>Old</v>
      </c>
      <c r="N814" t="s">
        <v>18</v>
      </c>
    </row>
    <row r="815" spans="1:14">
      <c r="A815">
        <v>25899</v>
      </c>
      <c r="B815" t="s">
        <v>32</v>
      </c>
      <c r="C815" t="s">
        <v>34</v>
      </c>
      <c r="D815" s="2">
        <v>70000</v>
      </c>
      <c r="E815">
        <v>2</v>
      </c>
      <c r="F815" t="s">
        <v>27</v>
      </c>
      <c r="G815" t="s">
        <v>21</v>
      </c>
      <c r="H815" t="s">
        <v>15</v>
      </c>
      <c r="I815">
        <v>2</v>
      </c>
      <c r="J815" t="s">
        <v>43</v>
      </c>
      <c r="K815" t="s">
        <v>31</v>
      </c>
      <c r="L815">
        <v>53</v>
      </c>
      <c r="M815" t="str">
        <f t="shared" si="12"/>
        <v>Middle Age</v>
      </c>
      <c r="N815" t="s">
        <v>18</v>
      </c>
    </row>
    <row r="816" spans="1:14">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c r="A835">
        <v>27540</v>
      </c>
      <c r="B835" t="s">
        <v>33</v>
      </c>
      <c r="C835" t="s">
        <v>34</v>
      </c>
      <c r="D835" s="2">
        <v>70000</v>
      </c>
      <c r="E835">
        <v>0</v>
      </c>
      <c r="F835" t="s">
        <v>13</v>
      </c>
      <c r="G835" t="s">
        <v>21</v>
      </c>
      <c r="H835" t="s">
        <v>18</v>
      </c>
      <c r="I835">
        <v>1</v>
      </c>
      <c r="J835" t="s">
        <v>16</v>
      </c>
      <c r="K835" t="s">
        <v>31</v>
      </c>
      <c r="L835">
        <v>37</v>
      </c>
      <c r="M835" t="str">
        <f t="shared" ref="M835:M898" si="13">IF(L835&gt;54, "Old", IF(L835&gt;=31,"Middle Age", IF(L835&lt;31,"Adolescent","Invalid")))</f>
        <v>Middle Age</v>
      </c>
      <c r="N835" t="s">
        <v>15</v>
      </c>
    </row>
    <row r="836" spans="1:14">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c r="A842">
        <v>11233</v>
      </c>
      <c r="B842" t="s">
        <v>32</v>
      </c>
      <c r="C842" t="s">
        <v>35</v>
      </c>
      <c r="D842" s="2">
        <v>70000</v>
      </c>
      <c r="E842">
        <v>4</v>
      </c>
      <c r="F842" t="s">
        <v>19</v>
      </c>
      <c r="G842" t="s">
        <v>21</v>
      </c>
      <c r="H842" t="s">
        <v>15</v>
      </c>
      <c r="I842">
        <v>2</v>
      </c>
      <c r="J842" t="s">
        <v>43</v>
      </c>
      <c r="K842" t="s">
        <v>31</v>
      </c>
      <c r="L842">
        <v>53</v>
      </c>
      <c r="M842" t="str">
        <f t="shared" si="13"/>
        <v>Middle Age</v>
      </c>
      <c r="N842" t="s">
        <v>18</v>
      </c>
    </row>
    <row r="843" spans="1:14">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c r="A846">
        <v>22743</v>
      </c>
      <c r="B846" t="s">
        <v>32</v>
      </c>
      <c r="C846" t="s">
        <v>34</v>
      </c>
      <c r="D846" s="2">
        <v>40000</v>
      </c>
      <c r="E846">
        <v>5</v>
      </c>
      <c r="F846" t="s">
        <v>27</v>
      </c>
      <c r="G846" t="s">
        <v>21</v>
      </c>
      <c r="H846" t="s">
        <v>15</v>
      </c>
      <c r="I846">
        <v>2</v>
      </c>
      <c r="J846" t="s">
        <v>43</v>
      </c>
      <c r="K846" t="s">
        <v>31</v>
      </c>
      <c r="L846">
        <v>60</v>
      </c>
      <c r="M846" t="str">
        <f t="shared" si="13"/>
        <v>Old</v>
      </c>
      <c r="N846" t="s">
        <v>18</v>
      </c>
    </row>
    <row r="847" spans="1:14">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c r="A868">
        <v>28052</v>
      </c>
      <c r="B868" t="s">
        <v>32</v>
      </c>
      <c r="C868" t="s">
        <v>35</v>
      </c>
      <c r="D868" s="2">
        <v>60000</v>
      </c>
      <c r="E868">
        <v>2</v>
      </c>
      <c r="F868" t="s">
        <v>27</v>
      </c>
      <c r="G868" t="s">
        <v>21</v>
      </c>
      <c r="H868" t="s">
        <v>15</v>
      </c>
      <c r="I868">
        <v>2</v>
      </c>
      <c r="J868" t="s">
        <v>43</v>
      </c>
      <c r="K868" t="s">
        <v>31</v>
      </c>
      <c r="L868">
        <v>55</v>
      </c>
      <c r="M868" t="str">
        <f t="shared" si="13"/>
        <v>Old</v>
      </c>
      <c r="N868" t="s">
        <v>18</v>
      </c>
    </row>
    <row r="869" spans="1:14">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c r="A870">
        <v>24955</v>
      </c>
      <c r="B870" t="s">
        <v>33</v>
      </c>
      <c r="C870" t="s">
        <v>35</v>
      </c>
      <c r="D870" s="2">
        <v>30000</v>
      </c>
      <c r="E870">
        <v>5</v>
      </c>
      <c r="F870" t="s">
        <v>29</v>
      </c>
      <c r="G870" t="s">
        <v>14</v>
      </c>
      <c r="H870" t="s">
        <v>15</v>
      </c>
      <c r="I870">
        <v>3</v>
      </c>
      <c r="J870" t="s">
        <v>43</v>
      </c>
      <c r="K870" t="s">
        <v>31</v>
      </c>
      <c r="L870">
        <v>60</v>
      </c>
      <c r="M870" t="str">
        <f t="shared" si="13"/>
        <v>Old</v>
      </c>
      <c r="N870" t="s">
        <v>15</v>
      </c>
    </row>
    <row r="871" spans="1:14">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c r="A873">
        <v>11219</v>
      </c>
      <c r="B873" t="s">
        <v>32</v>
      </c>
      <c r="C873" t="s">
        <v>35</v>
      </c>
      <c r="D873" s="2">
        <v>60000</v>
      </c>
      <c r="E873">
        <v>2</v>
      </c>
      <c r="F873" t="s">
        <v>27</v>
      </c>
      <c r="G873" t="s">
        <v>21</v>
      </c>
      <c r="H873" t="s">
        <v>15</v>
      </c>
      <c r="I873">
        <v>2</v>
      </c>
      <c r="J873" t="s">
        <v>43</v>
      </c>
      <c r="K873" t="s">
        <v>31</v>
      </c>
      <c r="L873">
        <v>55</v>
      </c>
      <c r="M873" t="str">
        <f t="shared" si="13"/>
        <v>Old</v>
      </c>
      <c r="N873" t="s">
        <v>18</v>
      </c>
    </row>
    <row r="874" spans="1:14">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c r="A899">
        <v>12029</v>
      </c>
      <c r="B899" t="s">
        <v>32</v>
      </c>
      <c r="C899" t="s">
        <v>35</v>
      </c>
      <c r="D899" s="2">
        <v>30000</v>
      </c>
      <c r="E899">
        <v>0</v>
      </c>
      <c r="F899" t="s">
        <v>29</v>
      </c>
      <c r="G899" t="s">
        <v>20</v>
      </c>
      <c r="H899" t="s">
        <v>18</v>
      </c>
      <c r="I899">
        <v>2</v>
      </c>
      <c r="J899" t="s">
        <v>16</v>
      </c>
      <c r="K899" t="s">
        <v>31</v>
      </c>
      <c r="L899">
        <v>28</v>
      </c>
      <c r="M899" t="str">
        <f t="shared" ref="M899:M962" si="14">IF(L899&gt;54, "Old", IF(L899&gt;=31,"Middle Age", IF(L899&lt;31,"Adolescent","Invalid")))</f>
        <v>Adolescent</v>
      </c>
      <c r="N899" t="s">
        <v>18</v>
      </c>
    </row>
    <row r="900" spans="1:14">
      <c r="A900">
        <v>18066</v>
      </c>
      <c r="B900" t="s">
        <v>33</v>
      </c>
      <c r="C900" t="s">
        <v>35</v>
      </c>
      <c r="D900" s="2">
        <v>70000</v>
      </c>
      <c r="E900">
        <v>5</v>
      </c>
      <c r="F900" t="s">
        <v>13</v>
      </c>
      <c r="G900" t="s">
        <v>28</v>
      </c>
      <c r="H900" t="s">
        <v>15</v>
      </c>
      <c r="I900">
        <v>3</v>
      </c>
      <c r="J900" t="s">
        <v>43</v>
      </c>
      <c r="K900" t="s">
        <v>31</v>
      </c>
      <c r="L900">
        <v>60</v>
      </c>
      <c r="M900" t="str">
        <f t="shared" si="14"/>
        <v>Old</v>
      </c>
      <c r="N900" t="s">
        <v>15</v>
      </c>
    </row>
    <row r="901" spans="1:14">
      <c r="A901">
        <v>28192</v>
      </c>
      <c r="B901" t="s">
        <v>32</v>
      </c>
      <c r="C901" t="s">
        <v>34</v>
      </c>
      <c r="D901" s="2">
        <v>70000</v>
      </c>
      <c r="E901">
        <v>5</v>
      </c>
      <c r="F901" t="s">
        <v>30</v>
      </c>
      <c r="G901" t="s">
        <v>21</v>
      </c>
      <c r="H901" t="s">
        <v>15</v>
      </c>
      <c r="I901">
        <v>3</v>
      </c>
      <c r="J901" t="s">
        <v>43</v>
      </c>
      <c r="K901" t="s">
        <v>31</v>
      </c>
      <c r="L901">
        <v>46</v>
      </c>
      <c r="M901" t="str">
        <f t="shared" si="14"/>
        <v>Middle Age</v>
      </c>
      <c r="N901" t="s">
        <v>18</v>
      </c>
    </row>
    <row r="902" spans="1:14">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c r="A909">
        <v>19747</v>
      </c>
      <c r="B909" t="s">
        <v>32</v>
      </c>
      <c r="C909" t="s">
        <v>35</v>
      </c>
      <c r="D909" s="2">
        <v>50000</v>
      </c>
      <c r="E909">
        <v>4</v>
      </c>
      <c r="F909" t="s">
        <v>13</v>
      </c>
      <c r="G909" t="s">
        <v>28</v>
      </c>
      <c r="H909" t="s">
        <v>15</v>
      </c>
      <c r="I909">
        <v>2</v>
      </c>
      <c r="J909" t="s">
        <v>43</v>
      </c>
      <c r="K909" t="s">
        <v>31</v>
      </c>
      <c r="L909">
        <v>63</v>
      </c>
      <c r="M909" t="str">
        <f t="shared" si="14"/>
        <v>Old</v>
      </c>
      <c r="N909" t="s">
        <v>18</v>
      </c>
    </row>
    <row r="910" spans="1:14">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c r="A917">
        <v>21752</v>
      </c>
      <c r="B917" t="s">
        <v>32</v>
      </c>
      <c r="C917" t="s">
        <v>35</v>
      </c>
      <c r="D917" s="2">
        <v>60000</v>
      </c>
      <c r="E917">
        <v>3</v>
      </c>
      <c r="F917" t="s">
        <v>30</v>
      </c>
      <c r="G917" t="s">
        <v>28</v>
      </c>
      <c r="H917" t="s">
        <v>15</v>
      </c>
      <c r="I917">
        <v>2</v>
      </c>
      <c r="J917" t="s">
        <v>43</v>
      </c>
      <c r="K917" t="s">
        <v>31</v>
      </c>
      <c r="L917">
        <v>64</v>
      </c>
      <c r="M917" t="str">
        <f t="shared" si="14"/>
        <v>Old</v>
      </c>
      <c r="N917" t="s">
        <v>18</v>
      </c>
    </row>
    <row r="918" spans="1:14">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c r="A921">
        <v>21451</v>
      </c>
      <c r="B921" t="s">
        <v>32</v>
      </c>
      <c r="C921" t="s">
        <v>34</v>
      </c>
      <c r="D921" s="2">
        <v>40000</v>
      </c>
      <c r="E921">
        <v>4</v>
      </c>
      <c r="F921" t="s">
        <v>27</v>
      </c>
      <c r="G921" t="s">
        <v>21</v>
      </c>
      <c r="H921" t="s">
        <v>15</v>
      </c>
      <c r="I921">
        <v>2</v>
      </c>
      <c r="J921" t="s">
        <v>43</v>
      </c>
      <c r="K921" t="s">
        <v>31</v>
      </c>
      <c r="L921">
        <v>61</v>
      </c>
      <c r="M921" t="str">
        <f t="shared" si="14"/>
        <v>Old</v>
      </c>
      <c r="N921" t="s">
        <v>18</v>
      </c>
    </row>
    <row r="922" spans="1:14">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c r="A928">
        <v>26495</v>
      </c>
      <c r="B928" t="s">
        <v>33</v>
      </c>
      <c r="C928" t="s">
        <v>34</v>
      </c>
      <c r="D928" s="2">
        <v>40000</v>
      </c>
      <c r="E928">
        <v>2</v>
      </c>
      <c r="F928" t="s">
        <v>27</v>
      </c>
      <c r="G928" t="s">
        <v>21</v>
      </c>
      <c r="H928" t="s">
        <v>15</v>
      </c>
      <c r="I928">
        <v>2</v>
      </c>
      <c r="J928" t="s">
        <v>43</v>
      </c>
      <c r="K928" t="s">
        <v>31</v>
      </c>
      <c r="L928">
        <v>57</v>
      </c>
      <c r="M928" t="str">
        <f t="shared" si="14"/>
        <v>Old</v>
      </c>
      <c r="N928" t="s">
        <v>18</v>
      </c>
    </row>
    <row r="929" spans="1:14">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c r="A932">
        <v>19543</v>
      </c>
      <c r="B932" t="s">
        <v>32</v>
      </c>
      <c r="C932" t="s">
        <v>35</v>
      </c>
      <c r="D932" s="2">
        <v>70000</v>
      </c>
      <c r="E932">
        <v>5</v>
      </c>
      <c r="F932" t="s">
        <v>30</v>
      </c>
      <c r="G932" t="s">
        <v>21</v>
      </c>
      <c r="H932" t="s">
        <v>18</v>
      </c>
      <c r="I932">
        <v>3</v>
      </c>
      <c r="J932" t="s">
        <v>43</v>
      </c>
      <c r="K932" t="s">
        <v>31</v>
      </c>
      <c r="L932">
        <v>47</v>
      </c>
      <c r="M932" t="str">
        <f t="shared" si="14"/>
        <v>Middle Age</v>
      </c>
      <c r="N932" t="s">
        <v>18</v>
      </c>
    </row>
    <row r="933" spans="1:14">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c r="A951">
        <v>28056</v>
      </c>
      <c r="B951" t="s">
        <v>32</v>
      </c>
      <c r="C951" t="s">
        <v>35</v>
      </c>
      <c r="D951" s="2">
        <v>70000</v>
      </c>
      <c r="E951">
        <v>2</v>
      </c>
      <c r="F951" t="s">
        <v>29</v>
      </c>
      <c r="G951" t="s">
        <v>14</v>
      </c>
      <c r="H951" t="s">
        <v>15</v>
      </c>
      <c r="I951">
        <v>2</v>
      </c>
      <c r="J951" t="s">
        <v>43</v>
      </c>
      <c r="K951" t="s">
        <v>31</v>
      </c>
      <c r="L951">
        <v>53</v>
      </c>
      <c r="M951" t="str">
        <f t="shared" si="14"/>
        <v>Middle Age</v>
      </c>
      <c r="N951" t="s">
        <v>18</v>
      </c>
    </row>
    <row r="952" spans="1:14">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c r="A963">
        <v>16651</v>
      </c>
      <c r="B963" t="s">
        <v>32</v>
      </c>
      <c r="C963" t="s">
        <v>34</v>
      </c>
      <c r="D963" s="2">
        <v>120000</v>
      </c>
      <c r="E963">
        <v>2</v>
      </c>
      <c r="F963" t="s">
        <v>13</v>
      </c>
      <c r="G963" t="s">
        <v>28</v>
      </c>
      <c r="H963" t="s">
        <v>15</v>
      </c>
      <c r="I963">
        <v>3</v>
      </c>
      <c r="J963" t="s">
        <v>23</v>
      </c>
      <c r="K963" t="s">
        <v>31</v>
      </c>
      <c r="L963">
        <v>62</v>
      </c>
      <c r="M963" t="str">
        <f t="shared" ref="M963:M1026" si="15">IF(L963&gt;54, "Old", IF(L963&gt;=31,"Middle Age", IF(L963&lt;31,"Adolescent","Invalid")))</f>
        <v>Old</v>
      </c>
      <c r="N963" t="s">
        <v>18</v>
      </c>
    </row>
    <row r="964" spans="1:14">
      <c r="A964">
        <v>16813</v>
      </c>
      <c r="B964" t="s">
        <v>32</v>
      </c>
      <c r="C964" t="s">
        <v>35</v>
      </c>
      <c r="D964" s="2">
        <v>60000</v>
      </c>
      <c r="E964">
        <v>2</v>
      </c>
      <c r="F964" t="s">
        <v>19</v>
      </c>
      <c r="G964" t="s">
        <v>21</v>
      </c>
      <c r="H964" t="s">
        <v>15</v>
      </c>
      <c r="I964">
        <v>2</v>
      </c>
      <c r="J964" t="s">
        <v>43</v>
      </c>
      <c r="K964" t="s">
        <v>31</v>
      </c>
      <c r="L964">
        <v>55</v>
      </c>
      <c r="M964" t="str">
        <f t="shared" si="15"/>
        <v>Old</v>
      </c>
      <c r="N964" t="s">
        <v>18</v>
      </c>
    </row>
    <row r="965" spans="1:14">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c r="A966">
        <v>27434</v>
      </c>
      <c r="B966" t="s">
        <v>33</v>
      </c>
      <c r="C966" t="s">
        <v>35</v>
      </c>
      <c r="D966" s="2">
        <v>70000</v>
      </c>
      <c r="E966">
        <v>4</v>
      </c>
      <c r="F966" t="s">
        <v>19</v>
      </c>
      <c r="G966" t="s">
        <v>21</v>
      </c>
      <c r="H966" t="s">
        <v>15</v>
      </c>
      <c r="I966">
        <v>1</v>
      </c>
      <c r="J966" t="s">
        <v>43</v>
      </c>
      <c r="K966" t="s">
        <v>31</v>
      </c>
      <c r="L966">
        <v>56</v>
      </c>
      <c r="M966" t="str">
        <f t="shared" si="15"/>
        <v>Old</v>
      </c>
      <c r="N966" t="s">
        <v>18</v>
      </c>
    </row>
    <row r="967" spans="1:14">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c r="A978">
        <v>28004</v>
      </c>
      <c r="B978" t="s">
        <v>32</v>
      </c>
      <c r="C978" t="s">
        <v>34</v>
      </c>
      <c r="D978" s="2">
        <v>60000</v>
      </c>
      <c r="E978">
        <v>3</v>
      </c>
      <c r="F978" t="s">
        <v>13</v>
      </c>
      <c r="G978" t="s">
        <v>28</v>
      </c>
      <c r="H978" t="s">
        <v>15</v>
      </c>
      <c r="I978">
        <v>2</v>
      </c>
      <c r="J978" t="s">
        <v>43</v>
      </c>
      <c r="K978" t="s">
        <v>31</v>
      </c>
      <c r="L978">
        <v>66</v>
      </c>
      <c r="M978" t="str">
        <f t="shared" si="15"/>
        <v>Old</v>
      </c>
      <c r="N978" t="s">
        <v>18</v>
      </c>
    </row>
    <row r="979" spans="1:14">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c r="A982">
        <v>18594</v>
      </c>
      <c r="B982" t="s">
        <v>33</v>
      </c>
      <c r="C982" t="s">
        <v>34</v>
      </c>
      <c r="D982" s="2">
        <v>80000</v>
      </c>
      <c r="E982">
        <v>3</v>
      </c>
      <c r="F982" t="s">
        <v>13</v>
      </c>
      <c r="G982" t="s">
        <v>14</v>
      </c>
      <c r="H982" t="s">
        <v>15</v>
      </c>
      <c r="I982">
        <v>3</v>
      </c>
      <c r="J982" t="s">
        <v>43</v>
      </c>
      <c r="K982" t="s">
        <v>31</v>
      </c>
      <c r="L982">
        <v>40</v>
      </c>
      <c r="M982" t="str">
        <f t="shared" si="15"/>
        <v>Middle Age</v>
      </c>
      <c r="N982" t="s">
        <v>15</v>
      </c>
    </row>
    <row r="983" spans="1:14">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c r="A988">
        <v>23704</v>
      </c>
      <c r="B988" t="s">
        <v>33</v>
      </c>
      <c r="C988" t="s">
        <v>35</v>
      </c>
      <c r="D988" s="2">
        <v>40000</v>
      </c>
      <c r="E988">
        <v>5</v>
      </c>
      <c r="F988" t="s">
        <v>27</v>
      </c>
      <c r="G988" t="s">
        <v>21</v>
      </c>
      <c r="H988" t="s">
        <v>15</v>
      </c>
      <c r="I988">
        <v>4</v>
      </c>
      <c r="J988" t="s">
        <v>43</v>
      </c>
      <c r="K988" t="s">
        <v>31</v>
      </c>
      <c r="L988">
        <v>60</v>
      </c>
      <c r="M988" t="str">
        <f t="shared" si="15"/>
        <v>Old</v>
      </c>
      <c r="N988" t="s">
        <v>15</v>
      </c>
    </row>
    <row r="989" spans="1:14">
      <c r="A989">
        <v>28972</v>
      </c>
      <c r="B989" t="s">
        <v>33</v>
      </c>
      <c r="C989" t="s">
        <v>34</v>
      </c>
      <c r="D989" s="2">
        <v>60000</v>
      </c>
      <c r="E989">
        <v>3</v>
      </c>
      <c r="F989" t="s">
        <v>30</v>
      </c>
      <c r="G989" t="s">
        <v>28</v>
      </c>
      <c r="H989" t="s">
        <v>15</v>
      </c>
      <c r="I989">
        <v>2</v>
      </c>
      <c r="J989" t="s">
        <v>43</v>
      </c>
      <c r="K989" t="s">
        <v>31</v>
      </c>
      <c r="L989">
        <v>66</v>
      </c>
      <c r="M989" t="str">
        <f t="shared" si="15"/>
        <v>Old</v>
      </c>
      <c r="N989" t="s">
        <v>18</v>
      </c>
    </row>
    <row r="990" spans="1:14">
      <c r="A990">
        <v>22730</v>
      </c>
      <c r="B990" t="s">
        <v>32</v>
      </c>
      <c r="C990" t="s">
        <v>35</v>
      </c>
      <c r="D990" s="2">
        <v>70000</v>
      </c>
      <c r="E990">
        <v>5</v>
      </c>
      <c r="F990" t="s">
        <v>13</v>
      </c>
      <c r="G990" t="s">
        <v>28</v>
      </c>
      <c r="H990" t="s">
        <v>15</v>
      </c>
      <c r="I990">
        <v>2</v>
      </c>
      <c r="J990" t="s">
        <v>43</v>
      </c>
      <c r="K990" t="s">
        <v>31</v>
      </c>
      <c r="L990">
        <v>63</v>
      </c>
      <c r="M990" t="str">
        <f t="shared" si="15"/>
        <v>Old</v>
      </c>
      <c r="N990" t="s">
        <v>18</v>
      </c>
    </row>
    <row r="991" spans="1:14">
      <c r="A991">
        <v>29134</v>
      </c>
      <c r="B991" t="s">
        <v>32</v>
      </c>
      <c r="C991" t="s">
        <v>35</v>
      </c>
      <c r="D991" s="2">
        <v>60000</v>
      </c>
      <c r="E991">
        <v>4</v>
      </c>
      <c r="F991" t="s">
        <v>13</v>
      </c>
      <c r="G991" t="s">
        <v>14</v>
      </c>
      <c r="H991" t="s">
        <v>18</v>
      </c>
      <c r="I991">
        <v>3</v>
      </c>
      <c r="J991" t="s">
        <v>43</v>
      </c>
      <c r="K991" t="s">
        <v>31</v>
      </c>
      <c r="L991">
        <v>42</v>
      </c>
      <c r="M991" t="str">
        <f t="shared" si="15"/>
        <v>Middle Age</v>
      </c>
      <c r="N991" t="s">
        <v>18</v>
      </c>
    </row>
    <row r="992" spans="1:14">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c r="A1001">
        <v>12121</v>
      </c>
      <c r="B1001" t="s">
        <v>33</v>
      </c>
      <c r="C1001" t="s">
        <v>35</v>
      </c>
      <c r="D1001" s="2">
        <v>60000</v>
      </c>
      <c r="E1001">
        <v>3</v>
      </c>
      <c r="F1001" t="s">
        <v>27</v>
      </c>
      <c r="G1001" t="s">
        <v>21</v>
      </c>
      <c r="H1001" t="s">
        <v>15</v>
      </c>
      <c r="I1001">
        <v>2</v>
      </c>
      <c r="J1001" t="s">
        <v>43</v>
      </c>
      <c r="K1001" t="s">
        <v>31</v>
      </c>
      <c r="L1001">
        <v>53</v>
      </c>
      <c r="M1001" t="str">
        <f t="shared" si="15"/>
        <v>Middle Age</v>
      </c>
      <c r="N1001" t="s">
        <v>15</v>
      </c>
    </row>
    <row r="1002" spans="1:14">
      <c r="A1002">
        <v>13507</v>
      </c>
      <c r="B1002" t="s">
        <v>32</v>
      </c>
      <c r="C1002" t="s">
        <v>34</v>
      </c>
      <c r="D1002" s="2">
        <v>10000</v>
      </c>
      <c r="E1002">
        <v>2</v>
      </c>
      <c r="F1002" t="s">
        <v>19</v>
      </c>
      <c r="G1002" t="s">
        <v>25</v>
      </c>
      <c r="H1002" t="s">
        <v>15</v>
      </c>
      <c r="I1002">
        <v>0</v>
      </c>
      <c r="J1002" t="s">
        <v>26</v>
      </c>
      <c r="K1002" t="s">
        <v>17</v>
      </c>
      <c r="L1002">
        <v>50</v>
      </c>
      <c r="M1002" t="str">
        <f t="shared" si="15"/>
        <v>Middle Age</v>
      </c>
      <c r="N1002" t="s">
        <v>18</v>
      </c>
    </row>
    <row r="1003" spans="1:14">
      <c r="A1003">
        <v>19280</v>
      </c>
      <c r="B1003" t="s">
        <v>32</v>
      </c>
      <c r="C1003" t="s">
        <v>35</v>
      </c>
      <c r="D1003" s="2">
        <v>120000</v>
      </c>
      <c r="E1003">
        <v>2</v>
      </c>
      <c r="F1003" t="s">
        <v>19</v>
      </c>
      <c r="G1003" t="s">
        <v>25</v>
      </c>
      <c r="H1003" t="s">
        <v>15</v>
      </c>
      <c r="I1003">
        <v>1</v>
      </c>
      <c r="J1003" t="s">
        <v>16</v>
      </c>
      <c r="K1003" t="s">
        <v>17</v>
      </c>
      <c r="L1003">
        <v>40</v>
      </c>
      <c r="M1003" t="str">
        <f t="shared" si="15"/>
        <v>Middle Age</v>
      </c>
      <c r="N1003" t="s">
        <v>15</v>
      </c>
    </row>
    <row r="1004" spans="1:14">
      <c r="A1004">
        <v>22173</v>
      </c>
      <c r="B1004" t="s">
        <v>32</v>
      </c>
      <c r="C1004" t="s">
        <v>34</v>
      </c>
      <c r="D1004" s="2">
        <v>30000</v>
      </c>
      <c r="E1004">
        <v>3</v>
      </c>
      <c r="F1004" t="s">
        <v>27</v>
      </c>
      <c r="G1004" t="s">
        <v>14</v>
      </c>
      <c r="H1004" t="s">
        <v>18</v>
      </c>
      <c r="I1004">
        <v>2</v>
      </c>
      <c r="J1004" t="s">
        <v>26</v>
      </c>
      <c r="K1004" t="s">
        <v>24</v>
      </c>
      <c r="L1004">
        <v>54</v>
      </c>
      <c r="M1004" t="str">
        <f t="shared" si="15"/>
        <v>Middle Age</v>
      </c>
      <c r="N1004" t="s">
        <v>15</v>
      </c>
    </row>
    <row r="1005" spans="1:14">
      <c r="A1005">
        <v>12697</v>
      </c>
      <c r="B1005" t="s">
        <v>33</v>
      </c>
      <c r="C1005" t="s">
        <v>34</v>
      </c>
      <c r="D1005" s="2">
        <v>90000</v>
      </c>
      <c r="E1005">
        <v>0</v>
      </c>
      <c r="F1005" t="s">
        <v>13</v>
      </c>
      <c r="G1005" t="s">
        <v>21</v>
      </c>
      <c r="H1005" t="s">
        <v>18</v>
      </c>
      <c r="I1005">
        <v>4</v>
      </c>
      <c r="J1005" t="s">
        <v>43</v>
      </c>
      <c r="K1005" t="s">
        <v>24</v>
      </c>
      <c r="L1005">
        <v>36</v>
      </c>
      <c r="M1005" t="str">
        <f t="shared" si="15"/>
        <v>Middle Age</v>
      </c>
      <c r="N1005" t="s">
        <v>18</v>
      </c>
    </row>
    <row r="1006" spans="1:14">
      <c r="A1006">
        <v>11434</v>
      </c>
      <c r="B1006" t="s">
        <v>32</v>
      </c>
      <c r="C1006" t="s">
        <v>35</v>
      </c>
      <c r="D1006" s="2">
        <v>170000</v>
      </c>
      <c r="E1006">
        <v>5</v>
      </c>
      <c r="F1006" t="s">
        <v>19</v>
      </c>
      <c r="G1006" t="s">
        <v>21</v>
      </c>
      <c r="H1006" t="s">
        <v>15</v>
      </c>
      <c r="I1006">
        <v>0</v>
      </c>
      <c r="J1006" t="s">
        <v>16</v>
      </c>
      <c r="K1006" t="s">
        <v>17</v>
      </c>
      <c r="L1006">
        <v>55</v>
      </c>
      <c r="M1006" t="str">
        <f t="shared" si="15"/>
        <v>Old</v>
      </c>
      <c r="N1006" t="s">
        <v>18</v>
      </c>
    </row>
    <row r="1007" spans="1:14">
      <c r="A1007">
        <v>25323</v>
      </c>
      <c r="B1007" t="s">
        <v>32</v>
      </c>
      <c r="C1007" t="s">
        <v>35</v>
      </c>
      <c r="D1007" s="2">
        <v>40000</v>
      </c>
      <c r="E1007">
        <v>2</v>
      </c>
      <c r="F1007" t="s">
        <v>19</v>
      </c>
      <c r="G1007" t="s">
        <v>20</v>
      </c>
      <c r="H1007" t="s">
        <v>15</v>
      </c>
      <c r="I1007">
        <v>1</v>
      </c>
      <c r="J1007" t="s">
        <v>26</v>
      </c>
      <c r="K1007" t="s">
        <v>17</v>
      </c>
      <c r="L1007">
        <v>35</v>
      </c>
      <c r="M1007" t="str">
        <f t="shared" si="15"/>
        <v>Middle Age</v>
      </c>
      <c r="N1007" t="s">
        <v>15</v>
      </c>
    </row>
    <row r="1008" spans="1:14">
      <c r="A1008">
        <v>23542</v>
      </c>
      <c r="B1008" t="s">
        <v>33</v>
      </c>
      <c r="C1008" t="s">
        <v>35</v>
      </c>
      <c r="D1008" s="2">
        <v>60000</v>
      </c>
      <c r="E1008">
        <v>1</v>
      </c>
      <c r="F1008" t="s">
        <v>19</v>
      </c>
      <c r="G1008" t="s">
        <v>14</v>
      </c>
      <c r="H1008" t="s">
        <v>18</v>
      </c>
      <c r="I1008">
        <v>1</v>
      </c>
      <c r="J1008" t="s">
        <v>16</v>
      </c>
      <c r="K1008" t="s">
        <v>24</v>
      </c>
      <c r="L1008">
        <v>45</v>
      </c>
      <c r="M1008" t="str">
        <f t="shared" si="15"/>
        <v>Middle Age</v>
      </c>
      <c r="N1008" t="s">
        <v>15</v>
      </c>
    </row>
    <row r="1009" spans="1:14">
      <c r="A1009">
        <v>20870</v>
      </c>
      <c r="B1009" t="s">
        <v>33</v>
      </c>
      <c r="C1009" t="s">
        <v>34</v>
      </c>
      <c r="D1009" s="2">
        <v>10000</v>
      </c>
      <c r="E1009">
        <v>2</v>
      </c>
      <c r="F1009" t="s">
        <v>27</v>
      </c>
      <c r="G1009" t="s">
        <v>25</v>
      </c>
      <c r="H1009" t="s">
        <v>15</v>
      </c>
      <c r="I1009">
        <v>1</v>
      </c>
      <c r="J1009" t="s">
        <v>16</v>
      </c>
      <c r="K1009" t="s">
        <v>17</v>
      </c>
      <c r="L1009">
        <v>38</v>
      </c>
      <c r="M1009" t="str">
        <f t="shared" si="15"/>
        <v>Middle Age</v>
      </c>
      <c r="N1009" t="s">
        <v>15</v>
      </c>
    </row>
    <row r="1010" spans="1:14">
      <c r="A1010">
        <v>23316</v>
      </c>
      <c r="B1010" t="s">
        <v>33</v>
      </c>
      <c r="C1010" t="s">
        <v>35</v>
      </c>
      <c r="D1010" s="2">
        <v>30000</v>
      </c>
      <c r="E1010">
        <v>3</v>
      </c>
      <c r="F1010" t="s">
        <v>19</v>
      </c>
      <c r="G1010" t="s">
        <v>20</v>
      </c>
      <c r="H1010" t="s">
        <v>18</v>
      </c>
      <c r="I1010">
        <v>2</v>
      </c>
      <c r="J1010" t="s">
        <v>26</v>
      </c>
      <c r="K1010" t="s">
        <v>24</v>
      </c>
      <c r="L1010">
        <v>59</v>
      </c>
      <c r="M1010" t="str">
        <f t="shared" si="15"/>
        <v>Old</v>
      </c>
      <c r="N1010" t="s">
        <v>15</v>
      </c>
    </row>
    <row r="1011" spans="1:14">
      <c r="A1011">
        <v>12610</v>
      </c>
      <c r="B1011" t="s">
        <v>32</v>
      </c>
      <c r="C1011" t="s">
        <v>34</v>
      </c>
      <c r="D1011" s="2">
        <v>30000</v>
      </c>
      <c r="E1011">
        <v>1</v>
      </c>
      <c r="F1011" t="s">
        <v>13</v>
      </c>
      <c r="G1011" t="s">
        <v>20</v>
      </c>
      <c r="H1011" t="s">
        <v>15</v>
      </c>
      <c r="I1011">
        <v>0</v>
      </c>
      <c r="J1011" t="s">
        <v>16</v>
      </c>
      <c r="K1011" t="s">
        <v>17</v>
      </c>
      <c r="L1011">
        <v>47</v>
      </c>
      <c r="M1011" t="str">
        <f t="shared" si="15"/>
        <v>Middle Age</v>
      </c>
      <c r="N1011" t="s">
        <v>18</v>
      </c>
    </row>
    <row r="1012" spans="1:14">
      <c r="A1012">
        <v>27183</v>
      </c>
      <c r="B1012" t="s">
        <v>33</v>
      </c>
      <c r="C1012" t="s">
        <v>35</v>
      </c>
      <c r="D1012" s="2">
        <v>40000</v>
      </c>
      <c r="E1012">
        <v>2</v>
      </c>
      <c r="F1012" t="s">
        <v>19</v>
      </c>
      <c r="G1012" t="s">
        <v>20</v>
      </c>
      <c r="H1012" t="s">
        <v>15</v>
      </c>
      <c r="I1012">
        <v>1</v>
      </c>
      <c r="J1012" t="s">
        <v>26</v>
      </c>
      <c r="K1012" t="s">
        <v>17</v>
      </c>
      <c r="L1012">
        <v>35</v>
      </c>
      <c r="M1012" t="str">
        <f t="shared" si="15"/>
        <v>Middle Age</v>
      </c>
      <c r="N1012" t="s">
        <v>15</v>
      </c>
    </row>
    <row r="1013" spans="1:14">
      <c r="A1013">
        <v>25940</v>
      </c>
      <c r="B1013" t="s">
        <v>33</v>
      </c>
      <c r="C1013" t="s">
        <v>35</v>
      </c>
      <c r="D1013" s="2">
        <v>20000</v>
      </c>
      <c r="E1013">
        <v>2</v>
      </c>
      <c r="F1013" t="s">
        <v>29</v>
      </c>
      <c r="G1013" t="s">
        <v>20</v>
      </c>
      <c r="H1013" t="s">
        <v>15</v>
      </c>
      <c r="I1013">
        <v>2</v>
      </c>
      <c r="J1013" t="s">
        <v>23</v>
      </c>
      <c r="K1013" t="s">
        <v>24</v>
      </c>
      <c r="L1013">
        <v>55</v>
      </c>
      <c r="M1013" t="str">
        <f t="shared" si="15"/>
        <v>Old</v>
      </c>
      <c r="N1013" t="s">
        <v>15</v>
      </c>
    </row>
    <row r="1014" spans="1:14">
      <c r="A1014">
        <v>25598</v>
      </c>
      <c r="B1014" t="s">
        <v>32</v>
      </c>
      <c r="C1014" t="s">
        <v>34</v>
      </c>
      <c r="D1014" s="2">
        <v>40000</v>
      </c>
      <c r="E1014">
        <v>0</v>
      </c>
      <c r="F1014" t="s">
        <v>30</v>
      </c>
      <c r="G1014" t="s">
        <v>20</v>
      </c>
      <c r="H1014" t="s">
        <v>15</v>
      </c>
      <c r="I1014">
        <v>0</v>
      </c>
      <c r="J1014" t="s">
        <v>16</v>
      </c>
      <c r="K1014" t="s">
        <v>17</v>
      </c>
      <c r="L1014">
        <v>36</v>
      </c>
      <c r="M1014" t="str">
        <f t="shared" si="15"/>
        <v>Middle Age</v>
      </c>
      <c r="N1014" t="s">
        <v>15</v>
      </c>
    </row>
    <row r="1015" spans="1:14">
      <c r="A1015">
        <v>21564</v>
      </c>
      <c r="B1015" t="s">
        <v>33</v>
      </c>
      <c r="C1015" t="s">
        <v>34</v>
      </c>
      <c r="D1015" s="2">
        <v>80000</v>
      </c>
      <c r="E1015">
        <v>0</v>
      </c>
      <c r="F1015" t="s">
        <v>13</v>
      </c>
      <c r="G1015" t="s">
        <v>21</v>
      </c>
      <c r="H1015" t="s">
        <v>15</v>
      </c>
      <c r="I1015">
        <v>4</v>
      </c>
      <c r="J1015" t="s">
        <v>43</v>
      </c>
      <c r="K1015" t="s">
        <v>24</v>
      </c>
      <c r="L1015">
        <v>35</v>
      </c>
      <c r="M1015" t="str">
        <f t="shared" si="15"/>
        <v>Middle Age</v>
      </c>
      <c r="N1015" t="s">
        <v>18</v>
      </c>
    </row>
    <row r="1016" spans="1:14">
      <c r="A1016">
        <v>19193</v>
      </c>
      <c r="B1016" t="s">
        <v>33</v>
      </c>
      <c r="C1016" t="s">
        <v>35</v>
      </c>
      <c r="D1016" s="2">
        <v>40000</v>
      </c>
      <c r="E1016">
        <v>2</v>
      </c>
      <c r="F1016" t="s">
        <v>19</v>
      </c>
      <c r="G1016" t="s">
        <v>20</v>
      </c>
      <c r="H1016" t="s">
        <v>15</v>
      </c>
      <c r="I1016">
        <v>0</v>
      </c>
      <c r="J1016" t="s">
        <v>26</v>
      </c>
      <c r="K1016" t="s">
        <v>17</v>
      </c>
      <c r="L1016">
        <v>35</v>
      </c>
      <c r="M1016" t="str">
        <f t="shared" si="15"/>
        <v>Middle Age</v>
      </c>
      <c r="N1016" t="s">
        <v>15</v>
      </c>
    </row>
    <row r="1017" spans="1:14">
      <c r="A1017">
        <v>26412</v>
      </c>
      <c r="B1017" t="s">
        <v>32</v>
      </c>
      <c r="C1017" t="s">
        <v>34</v>
      </c>
      <c r="D1017" s="2">
        <v>80000</v>
      </c>
      <c r="E1017">
        <v>5</v>
      </c>
      <c r="F1017" t="s">
        <v>27</v>
      </c>
      <c r="G1017" t="s">
        <v>28</v>
      </c>
      <c r="H1017" t="s">
        <v>18</v>
      </c>
      <c r="I1017">
        <v>3</v>
      </c>
      <c r="J1017" t="s">
        <v>23</v>
      </c>
      <c r="K1017" t="s">
        <v>17</v>
      </c>
      <c r="L1017">
        <v>56</v>
      </c>
      <c r="M1017" t="str">
        <f t="shared" si="15"/>
        <v>Old</v>
      </c>
      <c r="N1017" t="s">
        <v>18</v>
      </c>
    </row>
    <row r="1018" spans="1:14">
      <c r="A1018">
        <v>27184</v>
      </c>
      <c r="B1018" t="s">
        <v>33</v>
      </c>
      <c r="C1018" t="s">
        <v>35</v>
      </c>
      <c r="D1018" s="2">
        <v>40000</v>
      </c>
      <c r="E1018">
        <v>2</v>
      </c>
      <c r="F1018" t="s">
        <v>19</v>
      </c>
      <c r="G1018" t="s">
        <v>20</v>
      </c>
      <c r="H1018" t="s">
        <v>18</v>
      </c>
      <c r="I1018">
        <v>1</v>
      </c>
      <c r="J1018" t="s">
        <v>16</v>
      </c>
      <c r="K1018" t="s">
        <v>17</v>
      </c>
      <c r="L1018">
        <v>34</v>
      </c>
      <c r="M1018" t="str">
        <f t="shared" si="15"/>
        <v>Middle Age</v>
      </c>
      <c r="N1018" t="s">
        <v>18</v>
      </c>
    </row>
    <row r="1019" spans="1:14">
      <c r="A1019">
        <v>12590</v>
      </c>
      <c r="B1019" t="s">
        <v>33</v>
      </c>
      <c r="C1019" t="s">
        <v>35</v>
      </c>
      <c r="D1019" s="2">
        <v>30000</v>
      </c>
      <c r="E1019">
        <v>1</v>
      </c>
      <c r="F1019" t="s">
        <v>13</v>
      </c>
      <c r="G1019" t="s">
        <v>20</v>
      </c>
      <c r="H1019" t="s">
        <v>15</v>
      </c>
      <c r="I1019">
        <v>0</v>
      </c>
      <c r="J1019" t="s">
        <v>16</v>
      </c>
      <c r="K1019" t="s">
        <v>17</v>
      </c>
      <c r="L1019">
        <v>63</v>
      </c>
      <c r="M1019" t="str">
        <f t="shared" si="15"/>
        <v>Old</v>
      </c>
      <c r="N1019" t="s">
        <v>18</v>
      </c>
    </row>
    <row r="1020" spans="1:14">
      <c r="A1020">
        <v>17841</v>
      </c>
      <c r="B1020" t="s">
        <v>33</v>
      </c>
      <c r="C1020" t="s">
        <v>35</v>
      </c>
      <c r="D1020" s="2">
        <v>30000</v>
      </c>
      <c r="E1020">
        <v>0</v>
      </c>
      <c r="F1020" t="s">
        <v>19</v>
      </c>
      <c r="G1020" t="s">
        <v>20</v>
      </c>
      <c r="H1020" t="s">
        <v>18</v>
      </c>
      <c r="I1020">
        <v>1</v>
      </c>
      <c r="J1020" t="s">
        <v>16</v>
      </c>
      <c r="K1020" t="s">
        <v>17</v>
      </c>
      <c r="L1020">
        <v>29</v>
      </c>
      <c r="M1020" t="str">
        <f t="shared" si="15"/>
        <v>Adolescent</v>
      </c>
      <c r="N1020" t="s">
        <v>15</v>
      </c>
    </row>
    <row r="1021" spans="1:14">
      <c r="A1021">
        <v>18283</v>
      </c>
      <c r="B1021" t="s">
        <v>33</v>
      </c>
      <c r="C1021" t="s">
        <v>34</v>
      </c>
      <c r="D1021" s="2">
        <v>100000</v>
      </c>
      <c r="E1021">
        <v>0</v>
      </c>
      <c r="F1021" t="s">
        <v>13</v>
      </c>
      <c r="G1021" t="s">
        <v>21</v>
      </c>
      <c r="H1021" t="s">
        <v>18</v>
      </c>
      <c r="I1021">
        <v>1</v>
      </c>
      <c r="J1021" t="s">
        <v>23</v>
      </c>
      <c r="K1021" t="s">
        <v>24</v>
      </c>
      <c r="L1021">
        <v>40</v>
      </c>
      <c r="M1021" t="str">
        <f t="shared" si="15"/>
        <v>Middle Age</v>
      </c>
      <c r="N1021" t="s">
        <v>18</v>
      </c>
    </row>
    <row r="1022" spans="1:14">
      <c r="A1022">
        <v>18299</v>
      </c>
      <c r="B1022" t="s">
        <v>32</v>
      </c>
      <c r="C1022" t="s">
        <v>35</v>
      </c>
      <c r="D1022" s="2">
        <v>70000</v>
      </c>
      <c r="E1022">
        <v>5</v>
      </c>
      <c r="F1022" t="s">
        <v>19</v>
      </c>
      <c r="G1022" t="s">
        <v>14</v>
      </c>
      <c r="H1022" t="s">
        <v>15</v>
      </c>
      <c r="I1022">
        <v>2</v>
      </c>
      <c r="J1022" t="s">
        <v>23</v>
      </c>
      <c r="K1022" t="s">
        <v>24</v>
      </c>
      <c r="L1022">
        <v>44</v>
      </c>
      <c r="M1022" t="str">
        <f t="shared" si="15"/>
        <v>Middle Age</v>
      </c>
      <c r="N1022" t="s">
        <v>18</v>
      </c>
    </row>
    <row r="1023" spans="1:14">
      <c r="A1023">
        <v>16466</v>
      </c>
      <c r="B1023" t="s">
        <v>33</v>
      </c>
      <c r="C1023" t="s">
        <v>34</v>
      </c>
      <c r="D1023" s="2">
        <v>20000</v>
      </c>
      <c r="E1023">
        <v>0</v>
      </c>
      <c r="F1023" t="s">
        <v>29</v>
      </c>
      <c r="G1023" t="s">
        <v>25</v>
      </c>
      <c r="H1023" t="s">
        <v>18</v>
      </c>
      <c r="I1023">
        <v>2</v>
      </c>
      <c r="J1023" t="s">
        <v>16</v>
      </c>
      <c r="K1023" t="s">
        <v>17</v>
      </c>
      <c r="L1023">
        <v>32</v>
      </c>
      <c r="M1023" t="str">
        <f t="shared" si="15"/>
        <v>Middle Age</v>
      </c>
      <c r="N1023" t="s">
        <v>15</v>
      </c>
    </row>
    <row r="1024" spans="1:14">
      <c r="A1024">
        <v>19273</v>
      </c>
      <c r="B1024" t="s">
        <v>32</v>
      </c>
      <c r="C1024" t="s">
        <v>34</v>
      </c>
      <c r="D1024" s="2">
        <v>20000</v>
      </c>
      <c r="E1024">
        <v>2</v>
      </c>
      <c r="F1024" t="s">
        <v>19</v>
      </c>
      <c r="G1024" t="s">
        <v>25</v>
      </c>
      <c r="H1024" t="s">
        <v>15</v>
      </c>
      <c r="I1024">
        <v>0</v>
      </c>
      <c r="J1024" t="s">
        <v>16</v>
      </c>
      <c r="K1024" t="s">
        <v>17</v>
      </c>
      <c r="L1024">
        <v>63</v>
      </c>
      <c r="M1024" t="str">
        <f t="shared" si="15"/>
        <v>Old</v>
      </c>
      <c r="N1024" t="s">
        <v>18</v>
      </c>
    </row>
    <row r="1025" spans="1:14">
      <c r="A1025">
        <v>22400</v>
      </c>
      <c r="B1025" t="s">
        <v>32</v>
      </c>
      <c r="C1025" t="s">
        <v>35</v>
      </c>
      <c r="D1025" s="2">
        <v>10000</v>
      </c>
      <c r="E1025">
        <v>0</v>
      </c>
      <c r="F1025" t="s">
        <v>19</v>
      </c>
      <c r="G1025" t="s">
        <v>25</v>
      </c>
      <c r="H1025" t="s">
        <v>18</v>
      </c>
      <c r="I1025">
        <v>1</v>
      </c>
      <c r="J1025" t="s">
        <v>16</v>
      </c>
      <c r="K1025" t="s">
        <v>24</v>
      </c>
      <c r="L1025">
        <v>26</v>
      </c>
      <c r="M1025" t="str">
        <f t="shared" si="15"/>
        <v>Adolescent</v>
      </c>
      <c r="N1025" t="s">
        <v>15</v>
      </c>
    </row>
    <row r="1026" spans="1:14">
      <c r="A1026">
        <v>20942</v>
      </c>
      <c r="B1026" t="s">
        <v>33</v>
      </c>
      <c r="C1026" t="s">
        <v>34</v>
      </c>
      <c r="D1026" s="2">
        <v>20000</v>
      </c>
      <c r="E1026">
        <v>0</v>
      </c>
      <c r="F1026" t="s">
        <v>27</v>
      </c>
      <c r="G1026" t="s">
        <v>25</v>
      </c>
      <c r="H1026" t="s">
        <v>18</v>
      </c>
      <c r="I1026">
        <v>1</v>
      </c>
      <c r="J1026" t="s">
        <v>23</v>
      </c>
      <c r="K1026" t="s">
        <v>17</v>
      </c>
      <c r="L1026">
        <v>31</v>
      </c>
      <c r="M1026" t="str">
        <f t="shared" si="15"/>
        <v>Middle Age</v>
      </c>
      <c r="N1026" t="s">
        <v>18</v>
      </c>
    </row>
    <row r="1027" spans="1:14">
      <c r="A1027">
        <v>18484</v>
      </c>
      <c r="B1027" t="s">
        <v>33</v>
      </c>
      <c r="C1027" t="s">
        <v>35</v>
      </c>
      <c r="D1027" s="2">
        <v>80000</v>
      </c>
      <c r="E1027">
        <v>2</v>
      </c>
      <c r="F1027" t="s">
        <v>27</v>
      </c>
      <c r="G1027" t="s">
        <v>14</v>
      </c>
      <c r="H1027" t="s">
        <v>18</v>
      </c>
      <c r="I1027">
        <v>2</v>
      </c>
      <c r="J1027" t="s">
        <v>26</v>
      </c>
      <c r="K1027" t="s">
        <v>24</v>
      </c>
      <c r="L1027">
        <v>50</v>
      </c>
      <c r="M1027" t="str">
        <f t="shared" ref="M1027" si="16">IF(L1027&gt;54, "Old", IF(L1027&gt;=31,"Middle Age", IF(L1027&lt;31,"Adolescent","Invalid")))</f>
        <v>Middle Age</v>
      </c>
      <c r="N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6A90-78AC-4851-902D-3121E21D841A}">
  <dimension ref="A1:D49"/>
  <sheetViews>
    <sheetView topLeftCell="A34" workbookViewId="0">
      <selection activeCell="M47" sqref="M47"/>
    </sheetView>
  </sheetViews>
  <sheetFormatPr defaultRowHeight="14.4"/>
  <cols>
    <col min="1" max="1" width="21.88671875" bestFit="1" customWidth="1"/>
    <col min="2" max="2" width="15.5546875" bestFit="1" customWidth="1"/>
    <col min="3" max="3" width="4" bestFit="1" customWidth="1"/>
    <col min="4" max="4" width="10.77734375" bestFit="1" customWidth="1"/>
  </cols>
  <sheetData>
    <row r="1" spans="1:4">
      <c r="A1" s="3" t="s">
        <v>40</v>
      </c>
      <c r="B1" s="3" t="s">
        <v>42</v>
      </c>
    </row>
    <row r="2" spans="1:4">
      <c r="A2" s="3" t="s">
        <v>38</v>
      </c>
      <c r="B2" t="s">
        <v>18</v>
      </c>
      <c r="C2" t="s">
        <v>15</v>
      </c>
      <c r="D2" t="s">
        <v>39</v>
      </c>
    </row>
    <row r="3" spans="1:4">
      <c r="A3" s="4" t="s">
        <v>34</v>
      </c>
      <c r="B3" s="2">
        <v>55412.84403669725</v>
      </c>
      <c r="C3" s="2">
        <v>58888.888888888891</v>
      </c>
      <c r="D3" s="2">
        <v>56984.924623115578</v>
      </c>
    </row>
    <row r="4" spans="1:4">
      <c r="A4" s="4" t="s">
        <v>35</v>
      </c>
      <c r="B4" s="2">
        <v>61521.739130434784</v>
      </c>
      <c r="C4" s="2">
        <v>59777.777777777781</v>
      </c>
      <c r="D4" s="2">
        <v>60833.333333333336</v>
      </c>
    </row>
    <row r="5" spans="1:4">
      <c r="A5" s="4" t="s">
        <v>39</v>
      </c>
      <c r="B5" s="2">
        <v>58825.91093117409</v>
      </c>
      <c r="C5" s="2">
        <v>59333.333333333336</v>
      </c>
      <c r="D5" s="2">
        <v>59039.812646370025</v>
      </c>
    </row>
    <row r="17" spans="1:4">
      <c r="A17" s="3" t="s">
        <v>41</v>
      </c>
      <c r="B17" s="3" t="s">
        <v>42</v>
      </c>
    </row>
    <row r="18" spans="1:4">
      <c r="A18" s="3" t="s">
        <v>38</v>
      </c>
      <c r="B18" t="s">
        <v>18</v>
      </c>
      <c r="C18" t="s">
        <v>15</v>
      </c>
      <c r="D18" t="s">
        <v>39</v>
      </c>
    </row>
    <row r="19" spans="1:4">
      <c r="A19" s="4" t="s">
        <v>16</v>
      </c>
      <c r="B19" s="5">
        <v>89</v>
      </c>
      <c r="C19" s="5">
        <v>84</v>
      </c>
      <c r="D19" s="5">
        <v>173</v>
      </c>
    </row>
    <row r="20" spans="1:4">
      <c r="A20" s="4" t="s">
        <v>26</v>
      </c>
      <c r="B20" s="5">
        <v>43</v>
      </c>
      <c r="C20" s="5">
        <v>30</v>
      </c>
      <c r="D20" s="5">
        <v>73</v>
      </c>
    </row>
    <row r="21" spans="1:4">
      <c r="A21" s="4" t="s">
        <v>22</v>
      </c>
      <c r="B21" s="5">
        <v>31</v>
      </c>
      <c r="C21" s="5">
        <v>37</v>
      </c>
      <c r="D21" s="5">
        <v>68</v>
      </c>
    </row>
    <row r="22" spans="1:4">
      <c r="A22" s="4" t="s">
        <v>23</v>
      </c>
      <c r="B22" s="5">
        <v>43</v>
      </c>
      <c r="C22" s="5">
        <v>24</v>
      </c>
      <c r="D22" s="5">
        <v>67</v>
      </c>
    </row>
    <row r="23" spans="1:4">
      <c r="A23" s="4" t="s">
        <v>43</v>
      </c>
      <c r="B23" s="5">
        <v>41</v>
      </c>
      <c r="C23" s="5">
        <v>5</v>
      </c>
      <c r="D23" s="5">
        <v>46</v>
      </c>
    </row>
    <row r="24" spans="1:4">
      <c r="A24" s="4" t="s">
        <v>39</v>
      </c>
      <c r="B24" s="5">
        <v>247</v>
      </c>
      <c r="C24" s="5">
        <v>180</v>
      </c>
      <c r="D24" s="5">
        <v>427</v>
      </c>
    </row>
    <row r="30" spans="1:4">
      <c r="A30" s="3" t="s">
        <v>41</v>
      </c>
      <c r="B30" s="3" t="s">
        <v>42</v>
      </c>
    </row>
    <row r="31" spans="1:4">
      <c r="A31" s="3" t="s">
        <v>38</v>
      </c>
      <c r="B31" t="s">
        <v>18</v>
      </c>
      <c r="C31" t="s">
        <v>15</v>
      </c>
      <c r="D31" t="s">
        <v>39</v>
      </c>
    </row>
    <row r="32" spans="1:4">
      <c r="A32" s="4" t="s">
        <v>44</v>
      </c>
      <c r="B32" s="5">
        <v>17</v>
      </c>
      <c r="C32" s="5">
        <v>6</v>
      </c>
      <c r="D32" s="5">
        <v>23</v>
      </c>
    </row>
    <row r="33" spans="1:4">
      <c r="A33" s="4" t="s">
        <v>37</v>
      </c>
      <c r="B33" s="5">
        <v>148</v>
      </c>
      <c r="C33" s="5">
        <v>152</v>
      </c>
      <c r="D33" s="5">
        <v>300</v>
      </c>
    </row>
    <row r="34" spans="1:4">
      <c r="A34" s="4" t="s">
        <v>45</v>
      </c>
      <c r="B34" s="5">
        <v>82</v>
      </c>
      <c r="C34" s="5">
        <v>22</v>
      </c>
      <c r="D34" s="5">
        <v>104</v>
      </c>
    </row>
    <row r="35" spans="1:4">
      <c r="A35" s="4" t="s">
        <v>39</v>
      </c>
      <c r="B35" s="5">
        <v>247</v>
      </c>
      <c r="C35" s="5">
        <v>180</v>
      </c>
      <c r="D35" s="5">
        <v>427</v>
      </c>
    </row>
    <row r="45" spans="1:4">
      <c r="A45" s="3" t="s">
        <v>41</v>
      </c>
      <c r="B45" s="3" t="s">
        <v>42</v>
      </c>
    </row>
    <row r="46" spans="1:4">
      <c r="A46" s="3" t="s">
        <v>38</v>
      </c>
      <c r="B46" t="s">
        <v>18</v>
      </c>
      <c r="C46" t="s">
        <v>15</v>
      </c>
      <c r="D46" t="s">
        <v>39</v>
      </c>
    </row>
    <row r="47" spans="1:4">
      <c r="A47" s="4" t="s">
        <v>17</v>
      </c>
      <c r="B47" s="5">
        <v>69</v>
      </c>
      <c r="C47" s="5">
        <v>74</v>
      </c>
      <c r="D47" s="5">
        <v>143</v>
      </c>
    </row>
    <row r="48" spans="1:4">
      <c r="A48" s="4" t="s">
        <v>31</v>
      </c>
      <c r="B48" s="5">
        <v>178</v>
      </c>
      <c r="C48" s="5">
        <v>106</v>
      </c>
      <c r="D48" s="5">
        <v>284</v>
      </c>
    </row>
    <row r="49" spans="1:4">
      <c r="A49" s="4" t="s">
        <v>39</v>
      </c>
      <c r="B49" s="5">
        <v>247</v>
      </c>
      <c r="C49" s="5">
        <v>180</v>
      </c>
      <c r="D49" s="5">
        <v>427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50B4-7F90-4DDF-8FA0-3307D6A8DFCB}">
  <dimension ref="A1:P7"/>
  <sheetViews>
    <sheetView showGridLines="0" tabSelected="1" topLeftCell="A6" workbookViewId="0">
      <selection activeCell="S5" sqref="S5"/>
    </sheetView>
  </sheetViews>
  <sheetFormatPr defaultRowHeight="14.4"/>
  <cols>
    <col min="16" max="16" width="3.33203125" customWidth="1"/>
  </cols>
  <sheetData>
    <row r="1" spans="1:16">
      <c r="A1" s="7" t="s">
        <v>46</v>
      </c>
      <c r="B1" s="6"/>
      <c r="C1" s="6"/>
      <c r="D1" s="6"/>
      <c r="E1" s="6"/>
      <c r="F1" s="6"/>
      <c r="G1" s="6"/>
      <c r="H1" s="6"/>
      <c r="I1" s="6"/>
      <c r="J1" s="6"/>
      <c r="K1" s="6"/>
      <c r="L1" s="6"/>
      <c r="M1" s="6"/>
      <c r="N1" s="6"/>
      <c r="O1" s="6"/>
      <c r="P1" s="6"/>
    </row>
    <row r="2" spans="1:16">
      <c r="A2" s="6"/>
      <c r="B2" s="6"/>
      <c r="C2" s="6"/>
      <c r="D2" s="6"/>
      <c r="E2" s="6"/>
      <c r="F2" s="6"/>
      <c r="G2" s="6"/>
      <c r="H2" s="6"/>
      <c r="I2" s="6"/>
      <c r="J2" s="6"/>
      <c r="K2" s="6"/>
      <c r="L2" s="6"/>
      <c r="M2" s="6"/>
      <c r="N2" s="6"/>
      <c r="O2" s="6"/>
      <c r="P2" s="6"/>
    </row>
    <row r="3" spans="1:16">
      <c r="A3" s="6"/>
      <c r="B3" s="6"/>
      <c r="C3" s="6"/>
      <c r="D3" s="6"/>
      <c r="E3" s="6"/>
      <c r="F3" s="6"/>
      <c r="G3" s="6"/>
      <c r="H3" s="6"/>
      <c r="I3" s="6"/>
      <c r="J3" s="6"/>
      <c r="K3" s="6"/>
      <c r="L3" s="6"/>
      <c r="M3" s="6"/>
      <c r="N3" s="6"/>
      <c r="O3" s="6"/>
      <c r="P3" s="6"/>
    </row>
    <row r="4" spans="1:16">
      <c r="A4" s="6"/>
      <c r="B4" s="6"/>
      <c r="C4" s="6"/>
      <c r="D4" s="6"/>
      <c r="E4" s="6"/>
      <c r="F4" s="6"/>
      <c r="G4" s="6"/>
      <c r="H4" s="6"/>
      <c r="I4" s="6"/>
      <c r="J4" s="6"/>
      <c r="K4" s="6"/>
      <c r="L4" s="6"/>
      <c r="M4" s="6"/>
      <c r="N4" s="6"/>
      <c r="O4" s="6"/>
      <c r="P4" s="6"/>
    </row>
    <row r="5" spans="1:16">
      <c r="A5" s="6"/>
      <c r="B5" s="6"/>
      <c r="C5" s="6"/>
      <c r="D5" s="6"/>
      <c r="E5" s="6"/>
      <c r="F5" s="6"/>
      <c r="G5" s="6"/>
      <c r="H5" s="6"/>
      <c r="I5" s="6"/>
      <c r="J5" s="6"/>
      <c r="K5" s="6"/>
      <c r="L5" s="6"/>
      <c r="M5" s="6"/>
      <c r="N5" s="6"/>
      <c r="O5" s="6"/>
      <c r="P5" s="6"/>
    </row>
    <row r="6" spans="1:16">
      <c r="A6" s="6"/>
      <c r="B6" s="6"/>
      <c r="C6" s="6"/>
      <c r="D6" s="6"/>
      <c r="E6" s="6"/>
      <c r="F6" s="6"/>
      <c r="G6" s="6"/>
      <c r="H6" s="6"/>
      <c r="I6" s="6"/>
      <c r="J6" s="6"/>
      <c r="K6" s="6"/>
      <c r="L6" s="6"/>
      <c r="M6" s="6"/>
      <c r="N6" s="6"/>
      <c r="O6" s="6"/>
      <c r="P6" s="6"/>
    </row>
    <row r="7" spans="1:16">
      <c r="A7" s="6"/>
      <c r="B7" s="6"/>
      <c r="C7" s="6"/>
      <c r="D7" s="6"/>
      <c r="E7" s="6"/>
      <c r="F7" s="6"/>
      <c r="G7" s="6"/>
      <c r="H7" s="6"/>
      <c r="I7" s="6"/>
      <c r="J7" s="6"/>
      <c r="K7" s="6"/>
      <c r="L7" s="6"/>
      <c r="M7" s="6"/>
      <c r="N7" s="6"/>
      <c r="O7" s="6"/>
      <c r="P7" s="6"/>
    </row>
  </sheetData>
  <mergeCells count="1">
    <mergeCell ref="A1: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Shingai Mhene</dc:creator>
  <cp:lastModifiedBy>Shingai Mhene</cp:lastModifiedBy>
  <dcterms:created xsi:type="dcterms:W3CDTF">2026-04-10T16:58:31Z</dcterms:created>
  <dcterms:modified xsi:type="dcterms:W3CDTF">2026-04-11T03:35:49Z</dcterms:modified>
</cp:coreProperties>
</file>